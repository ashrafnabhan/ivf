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ashraf/Github/Nermine_IVF/"/>
    </mc:Choice>
  </mc:AlternateContent>
  <xr:revisionPtr revIDLastSave="0" documentId="13_ncr:1_{595AAFE2-0CC1-2E46-B29F-49AC9A7F0AD8}" xr6:coauthVersionLast="47" xr6:coauthVersionMax="47" xr10:uidLastSave="{00000000-0000-0000-0000-000000000000}"/>
  <bookViews>
    <workbookView xWindow="0" yWindow="660" windowWidth="28140" windowHeight="13900" activeTab="1" xr2:uid="{00000000-000D-0000-FFFF-FFFF00000000}"/>
  </bookViews>
  <sheets>
    <sheet name="raw data" sheetId="1" r:id="rId1"/>
    <sheet name="backup" sheetId="2" r:id="rId2"/>
    <sheet name="datas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3" i="2" l="1"/>
  <c r="BE4" i="2"/>
  <c r="BE5" i="2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48" i="2"/>
  <c r="BE49" i="2"/>
  <c r="BE50" i="2"/>
  <c r="BE51" i="2"/>
  <c r="BE52" i="2"/>
  <c r="BE53" i="2"/>
  <c r="BE54" i="2"/>
  <c r="BE55" i="2"/>
  <c r="BE56" i="2"/>
  <c r="BE57" i="2"/>
  <c r="BE58" i="2"/>
  <c r="BE59" i="2"/>
  <c r="BE60" i="2"/>
  <c r="BE61" i="2"/>
  <c r="BE62" i="2"/>
  <c r="BE63" i="2"/>
  <c r="BE64" i="2"/>
  <c r="BE65" i="2"/>
  <c r="BE66" i="2"/>
  <c r="BE67" i="2"/>
  <c r="BE68" i="2"/>
  <c r="BE69" i="2"/>
  <c r="BE70" i="2"/>
  <c r="BE71" i="2"/>
  <c r="BE72" i="2"/>
  <c r="BE73" i="2"/>
  <c r="BE74" i="2"/>
  <c r="BE75" i="2"/>
  <c r="BE76" i="2"/>
  <c r="BE77" i="2"/>
  <c r="BE78" i="2"/>
  <c r="BE79" i="2"/>
  <c r="BE80" i="2"/>
  <c r="BE81" i="2"/>
  <c r="BE82" i="2"/>
  <c r="BE83" i="2"/>
  <c r="BE84" i="2"/>
  <c r="BE85" i="2"/>
  <c r="BE86" i="2"/>
  <c r="BE87" i="2"/>
  <c r="BE88" i="2"/>
  <c r="BE89" i="2"/>
  <c r="BE90" i="2"/>
  <c r="BE91" i="2"/>
  <c r="BE92" i="2"/>
  <c r="BE93" i="2"/>
  <c r="BE94" i="2"/>
  <c r="BE95" i="2"/>
  <c r="BE96" i="2"/>
  <c r="BE97" i="2"/>
  <c r="BE98" i="2"/>
  <c r="BE99" i="2"/>
  <c r="BE100" i="2"/>
  <c r="BE101" i="2"/>
  <c r="BE102" i="2"/>
  <c r="BE103" i="2"/>
  <c r="BE104" i="2"/>
  <c r="BE105" i="2"/>
  <c r="BE106" i="2"/>
  <c r="BE107" i="2"/>
  <c r="BE108" i="2"/>
  <c r="BE109" i="2"/>
  <c r="BE110" i="2"/>
  <c r="BE111" i="2"/>
  <c r="BE112" i="2"/>
  <c r="BE113" i="2"/>
  <c r="BE114" i="2"/>
  <c r="BE115" i="2"/>
  <c r="BE116" i="2"/>
  <c r="BE117" i="2"/>
  <c r="BE118" i="2"/>
  <c r="BE119" i="2"/>
  <c r="BE120" i="2"/>
  <c r="BE121" i="2"/>
  <c r="BE122" i="2"/>
  <c r="BE123" i="2"/>
  <c r="BE124" i="2"/>
  <c r="BE125" i="2"/>
  <c r="BE126" i="2"/>
  <c r="BE127" i="2"/>
  <c r="BE128" i="2"/>
  <c r="BE129" i="2"/>
  <c r="BE130" i="2"/>
  <c r="BE131" i="2"/>
  <c r="BE132" i="2"/>
  <c r="BE133" i="2"/>
  <c r="BE134" i="2"/>
  <c r="BE135" i="2"/>
  <c r="BE136" i="2"/>
  <c r="BE137" i="2"/>
  <c r="BE138" i="2"/>
  <c r="BE139" i="2"/>
  <c r="BE140" i="2"/>
  <c r="BE141" i="2"/>
  <c r="BE142" i="2"/>
  <c r="BE143" i="2"/>
  <c r="BE144" i="2"/>
  <c r="BE145" i="2"/>
  <c r="BE146" i="2"/>
  <c r="BE147" i="2"/>
  <c r="BE148" i="2"/>
  <c r="BE149" i="2"/>
  <c r="BE150" i="2"/>
  <c r="BE151" i="2"/>
  <c r="BE152" i="2"/>
  <c r="BE153" i="2"/>
  <c r="BE154" i="2"/>
  <c r="BE155" i="2"/>
  <c r="BE156" i="2"/>
  <c r="BE157" i="2"/>
  <c r="BE158" i="2"/>
  <c r="BE159" i="2"/>
  <c r="BE160" i="2"/>
  <c r="BE161" i="2"/>
  <c r="BE162" i="2"/>
  <c r="BE163" i="2"/>
  <c r="BE164" i="2"/>
  <c r="BE165" i="2"/>
  <c r="BE166" i="2"/>
  <c r="BE167" i="2"/>
  <c r="BE168" i="2"/>
  <c r="BE169" i="2"/>
  <c r="BE170" i="2"/>
  <c r="BE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86" i="2"/>
  <c r="BF87" i="2"/>
  <c r="BF88" i="2"/>
  <c r="BF89" i="2"/>
  <c r="BF90" i="2"/>
  <c r="BF91" i="2"/>
  <c r="BF92" i="2"/>
  <c r="BF93" i="2"/>
  <c r="BF94" i="2"/>
  <c r="BF95" i="2"/>
  <c r="BF96" i="2"/>
  <c r="BF97" i="2"/>
  <c r="BF98" i="2"/>
  <c r="BF99" i="2"/>
  <c r="BF100" i="2"/>
  <c r="BF101" i="2"/>
  <c r="BF102" i="2"/>
  <c r="BF103" i="2"/>
  <c r="BF104" i="2"/>
  <c r="BF105" i="2"/>
  <c r="BF106" i="2"/>
  <c r="BF107" i="2"/>
  <c r="BF108" i="2"/>
  <c r="BF109" i="2"/>
  <c r="BF110" i="2"/>
  <c r="BF111" i="2"/>
  <c r="BF112" i="2"/>
  <c r="BF113" i="2"/>
  <c r="BF114" i="2"/>
  <c r="BF115" i="2"/>
  <c r="BF116" i="2"/>
  <c r="BF117" i="2"/>
  <c r="BF118" i="2"/>
  <c r="BF119" i="2"/>
  <c r="BF120" i="2"/>
  <c r="BF121" i="2"/>
  <c r="BF122" i="2"/>
  <c r="BF123" i="2"/>
  <c r="BF124" i="2"/>
  <c r="BF125" i="2"/>
  <c r="BF126" i="2"/>
  <c r="BF127" i="2"/>
  <c r="BF128" i="2"/>
  <c r="BF129" i="2"/>
  <c r="BF130" i="2"/>
  <c r="BF131" i="2"/>
  <c r="BF132" i="2"/>
  <c r="BF133" i="2"/>
  <c r="BF134" i="2"/>
  <c r="BF135" i="2"/>
  <c r="BF136" i="2"/>
  <c r="BF137" i="2"/>
  <c r="BF138" i="2"/>
  <c r="BF139" i="2"/>
  <c r="BF140" i="2"/>
  <c r="BF141" i="2"/>
  <c r="BF142" i="2"/>
  <c r="BF143" i="2"/>
  <c r="BF144" i="2"/>
  <c r="BF145" i="2"/>
  <c r="BF146" i="2"/>
  <c r="BF147" i="2"/>
  <c r="BF148" i="2"/>
  <c r="BF149" i="2"/>
  <c r="BF150" i="2"/>
  <c r="BF151" i="2"/>
  <c r="BF152" i="2"/>
  <c r="BF153" i="2"/>
  <c r="BF154" i="2"/>
  <c r="BF155" i="2"/>
  <c r="BF156" i="2"/>
  <c r="BF157" i="2"/>
  <c r="BF158" i="2"/>
  <c r="BF159" i="2"/>
  <c r="BF160" i="2"/>
  <c r="BF161" i="2"/>
  <c r="BF162" i="2"/>
  <c r="BF163" i="2"/>
  <c r="BF164" i="2"/>
  <c r="BF165" i="2"/>
  <c r="BF166" i="2"/>
  <c r="BF167" i="2"/>
  <c r="BF168" i="2"/>
  <c r="BF169" i="2"/>
  <c r="BF170" i="2"/>
  <c r="BF2" i="2"/>
  <c r="BD3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04" i="2"/>
  <c r="BD105" i="2"/>
  <c r="BD106" i="2"/>
  <c r="BD107" i="2"/>
  <c r="BD108" i="2"/>
  <c r="BD109" i="2"/>
  <c r="BD110" i="2"/>
  <c r="BD111" i="2"/>
  <c r="BD112" i="2"/>
  <c r="BD113" i="2"/>
  <c r="BD114" i="2"/>
  <c r="BD115" i="2"/>
  <c r="BD116" i="2"/>
  <c r="BD117" i="2"/>
  <c r="BD118" i="2"/>
  <c r="BD119" i="2"/>
  <c r="BD120" i="2"/>
  <c r="BD121" i="2"/>
  <c r="BD122" i="2"/>
  <c r="BD123" i="2"/>
  <c r="BD124" i="2"/>
  <c r="BD125" i="2"/>
  <c r="BD126" i="2"/>
  <c r="BD127" i="2"/>
  <c r="BD128" i="2"/>
  <c r="BD129" i="2"/>
  <c r="BD130" i="2"/>
  <c r="BD131" i="2"/>
  <c r="BD132" i="2"/>
  <c r="BD133" i="2"/>
  <c r="BD134" i="2"/>
  <c r="BD135" i="2"/>
  <c r="BD136" i="2"/>
  <c r="BD137" i="2"/>
  <c r="BD138" i="2"/>
  <c r="BD139" i="2"/>
  <c r="BD140" i="2"/>
  <c r="BD141" i="2"/>
  <c r="BD142" i="2"/>
  <c r="BD143" i="2"/>
  <c r="BD144" i="2"/>
  <c r="BD145" i="2"/>
  <c r="BD146" i="2"/>
  <c r="BD147" i="2"/>
  <c r="BD148" i="2"/>
  <c r="BD149" i="2"/>
  <c r="BD150" i="2"/>
  <c r="BD151" i="2"/>
  <c r="BD152" i="2"/>
  <c r="BD153" i="2"/>
  <c r="BD154" i="2"/>
  <c r="BD155" i="2"/>
  <c r="BD156" i="2"/>
  <c r="BD157" i="2"/>
  <c r="BD158" i="2"/>
  <c r="BD159" i="2"/>
  <c r="BD160" i="2"/>
  <c r="BD161" i="2"/>
  <c r="BD162" i="2"/>
  <c r="BD163" i="2"/>
  <c r="BD164" i="2"/>
  <c r="BD165" i="2"/>
  <c r="BD166" i="2"/>
  <c r="BD167" i="2"/>
  <c r="BD168" i="2"/>
  <c r="BD169" i="2"/>
  <c r="BD170" i="2"/>
  <c r="BD2" i="2"/>
  <c r="BC3" i="2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78" i="2"/>
  <c r="BC79" i="2"/>
  <c r="BC80" i="2"/>
  <c r="BC81" i="2"/>
  <c r="BC82" i="2"/>
  <c r="BC83" i="2"/>
  <c r="BC84" i="2"/>
  <c r="BC85" i="2"/>
  <c r="BC86" i="2"/>
  <c r="BC87" i="2"/>
  <c r="BC88" i="2"/>
  <c r="BC89" i="2"/>
  <c r="BC90" i="2"/>
  <c r="BC91" i="2"/>
  <c r="BC92" i="2"/>
  <c r="BC93" i="2"/>
  <c r="BC94" i="2"/>
  <c r="BC95" i="2"/>
  <c r="BC96" i="2"/>
  <c r="BC97" i="2"/>
  <c r="BC98" i="2"/>
  <c r="BC99" i="2"/>
  <c r="BC100" i="2"/>
  <c r="BC101" i="2"/>
  <c r="BC102" i="2"/>
  <c r="BC103" i="2"/>
  <c r="BC104" i="2"/>
  <c r="BC105" i="2"/>
  <c r="BC106" i="2"/>
  <c r="BC107" i="2"/>
  <c r="BC108" i="2"/>
  <c r="BC109" i="2"/>
  <c r="BC110" i="2"/>
  <c r="BC111" i="2"/>
  <c r="BC112" i="2"/>
  <c r="BC113" i="2"/>
  <c r="BC114" i="2"/>
  <c r="BC115" i="2"/>
  <c r="BC116" i="2"/>
  <c r="BC117" i="2"/>
  <c r="BC118" i="2"/>
  <c r="BC119" i="2"/>
  <c r="BC120" i="2"/>
  <c r="BC121" i="2"/>
  <c r="BC122" i="2"/>
  <c r="BC123" i="2"/>
  <c r="BC124" i="2"/>
  <c r="BC125" i="2"/>
  <c r="BC126" i="2"/>
  <c r="BC127" i="2"/>
  <c r="BC128" i="2"/>
  <c r="BC129" i="2"/>
  <c r="BC130" i="2"/>
  <c r="BC131" i="2"/>
  <c r="BC132" i="2"/>
  <c r="BC133" i="2"/>
  <c r="BC134" i="2"/>
  <c r="BC135" i="2"/>
  <c r="BC136" i="2"/>
  <c r="BC137" i="2"/>
  <c r="BC138" i="2"/>
  <c r="BC139" i="2"/>
  <c r="BC140" i="2"/>
  <c r="BC141" i="2"/>
  <c r="BC142" i="2"/>
  <c r="BC143" i="2"/>
  <c r="BC144" i="2"/>
  <c r="BC145" i="2"/>
  <c r="BC146" i="2"/>
  <c r="BC147" i="2"/>
  <c r="BC148" i="2"/>
  <c r="BC149" i="2"/>
  <c r="BC150" i="2"/>
  <c r="BC151" i="2"/>
  <c r="BC152" i="2"/>
  <c r="BC153" i="2"/>
  <c r="BC154" i="2"/>
  <c r="BC155" i="2"/>
  <c r="BC156" i="2"/>
  <c r="BC157" i="2"/>
  <c r="BC158" i="2"/>
  <c r="BC159" i="2"/>
  <c r="BC160" i="2"/>
  <c r="BC161" i="2"/>
  <c r="BC162" i="2"/>
  <c r="BC163" i="2"/>
  <c r="BC164" i="2"/>
  <c r="BC165" i="2"/>
  <c r="BC166" i="2"/>
  <c r="BC167" i="2"/>
  <c r="BC168" i="2"/>
  <c r="BC169" i="2"/>
  <c r="BC170" i="2"/>
  <c r="BC2" i="2"/>
  <c r="BB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1" i="2"/>
  <c r="BB112" i="2"/>
  <c r="BB113" i="2"/>
  <c r="BB114" i="2"/>
  <c r="BB115" i="2"/>
  <c r="BB116" i="2"/>
  <c r="BB117" i="2"/>
  <c r="BB118" i="2"/>
  <c r="BB119" i="2"/>
  <c r="BB120" i="2"/>
  <c r="BB121" i="2"/>
  <c r="BB122" i="2"/>
  <c r="BB123" i="2"/>
  <c r="BB124" i="2"/>
  <c r="BB125" i="2"/>
  <c r="BB126" i="2"/>
  <c r="BB127" i="2"/>
  <c r="BB128" i="2"/>
  <c r="BB129" i="2"/>
  <c r="BB130" i="2"/>
  <c r="BB131" i="2"/>
  <c r="BB132" i="2"/>
  <c r="BB133" i="2"/>
  <c r="BB134" i="2"/>
  <c r="BB135" i="2"/>
  <c r="BB136" i="2"/>
  <c r="BB137" i="2"/>
  <c r="BB138" i="2"/>
  <c r="BB139" i="2"/>
  <c r="BB140" i="2"/>
  <c r="BB141" i="2"/>
  <c r="BB142" i="2"/>
  <c r="BB143" i="2"/>
  <c r="BB144" i="2"/>
  <c r="BB145" i="2"/>
  <c r="BB146" i="2"/>
  <c r="BB147" i="2"/>
  <c r="BB148" i="2"/>
  <c r="BB149" i="2"/>
  <c r="BB150" i="2"/>
  <c r="BB151" i="2"/>
  <c r="BB152" i="2"/>
  <c r="BB153" i="2"/>
  <c r="BB154" i="2"/>
  <c r="BB155" i="2"/>
  <c r="BB156" i="2"/>
  <c r="BB157" i="2"/>
  <c r="BB158" i="2"/>
  <c r="BB159" i="2"/>
  <c r="BB160" i="2"/>
  <c r="BB161" i="2"/>
  <c r="BB162" i="2"/>
  <c r="BB163" i="2"/>
  <c r="BB164" i="2"/>
  <c r="BB165" i="2"/>
  <c r="BB166" i="2"/>
  <c r="BB167" i="2"/>
  <c r="BB168" i="2"/>
  <c r="BB169" i="2"/>
  <c r="BB170" i="2"/>
  <c r="BB2" i="2"/>
  <c r="BA3" i="2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04" i="2"/>
  <c r="BA105" i="2"/>
  <c r="BA106" i="2"/>
  <c r="BA107" i="2"/>
  <c r="BA108" i="2"/>
  <c r="BA109" i="2"/>
  <c r="BA110" i="2"/>
  <c r="BA111" i="2"/>
  <c r="BA112" i="2"/>
  <c r="BA113" i="2"/>
  <c r="BA114" i="2"/>
  <c r="BA115" i="2"/>
  <c r="BA116" i="2"/>
  <c r="BA117" i="2"/>
  <c r="BA118" i="2"/>
  <c r="BA119" i="2"/>
  <c r="BA120" i="2"/>
  <c r="BA121" i="2"/>
  <c r="BA122" i="2"/>
  <c r="BA123" i="2"/>
  <c r="BA124" i="2"/>
  <c r="BA125" i="2"/>
  <c r="BA126" i="2"/>
  <c r="BA127" i="2"/>
  <c r="BA128" i="2"/>
  <c r="BA129" i="2"/>
  <c r="BA130" i="2"/>
  <c r="BA131" i="2"/>
  <c r="BA132" i="2"/>
  <c r="BA133" i="2"/>
  <c r="BA134" i="2"/>
  <c r="BA135" i="2"/>
  <c r="BA136" i="2"/>
  <c r="BA137" i="2"/>
  <c r="BA138" i="2"/>
  <c r="BA139" i="2"/>
  <c r="BA140" i="2"/>
  <c r="BA141" i="2"/>
  <c r="BA142" i="2"/>
  <c r="BA143" i="2"/>
  <c r="BA144" i="2"/>
  <c r="BA145" i="2"/>
  <c r="BA146" i="2"/>
  <c r="BA147" i="2"/>
  <c r="BA148" i="2"/>
  <c r="BA149" i="2"/>
  <c r="BA150" i="2"/>
  <c r="BA151" i="2"/>
  <c r="BA152" i="2"/>
  <c r="BA153" i="2"/>
  <c r="BA154" i="2"/>
  <c r="BA155" i="2"/>
  <c r="BA156" i="2"/>
  <c r="BA157" i="2"/>
  <c r="BA158" i="2"/>
  <c r="BA159" i="2"/>
  <c r="BA160" i="2"/>
  <c r="BA161" i="2"/>
  <c r="BA162" i="2"/>
  <c r="BA163" i="2"/>
  <c r="BA164" i="2"/>
  <c r="BA165" i="2"/>
  <c r="BA166" i="2"/>
  <c r="BA167" i="2"/>
  <c r="BA168" i="2"/>
  <c r="BA169" i="2"/>
  <c r="BA170" i="2"/>
  <c r="BA2" i="2"/>
  <c r="AZ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97" i="2"/>
  <c r="AZ98" i="2"/>
  <c r="AZ99" i="2"/>
  <c r="AZ100" i="2"/>
  <c r="AZ101" i="2"/>
  <c r="AZ102" i="2"/>
  <c r="AZ103" i="2"/>
  <c r="AZ104" i="2"/>
  <c r="AZ105" i="2"/>
  <c r="AZ106" i="2"/>
  <c r="AZ107" i="2"/>
  <c r="AZ108" i="2"/>
  <c r="AZ109" i="2"/>
  <c r="AZ110" i="2"/>
  <c r="AZ111" i="2"/>
  <c r="AZ112" i="2"/>
  <c r="AZ113" i="2"/>
  <c r="AZ114" i="2"/>
  <c r="AZ115" i="2"/>
  <c r="AZ116" i="2"/>
  <c r="AZ117" i="2"/>
  <c r="AZ118" i="2"/>
  <c r="AZ119" i="2"/>
  <c r="AZ120" i="2"/>
  <c r="AZ121" i="2"/>
  <c r="AZ122" i="2"/>
  <c r="AZ123" i="2"/>
  <c r="AZ124" i="2"/>
  <c r="AZ125" i="2"/>
  <c r="AZ126" i="2"/>
  <c r="AZ127" i="2"/>
  <c r="AZ128" i="2"/>
  <c r="AZ129" i="2"/>
  <c r="AZ130" i="2"/>
  <c r="AZ131" i="2"/>
  <c r="AZ132" i="2"/>
  <c r="AZ133" i="2"/>
  <c r="AZ134" i="2"/>
  <c r="AZ135" i="2"/>
  <c r="AZ136" i="2"/>
  <c r="AZ137" i="2"/>
  <c r="AZ138" i="2"/>
  <c r="AZ139" i="2"/>
  <c r="AZ140" i="2"/>
  <c r="AZ141" i="2"/>
  <c r="AZ142" i="2"/>
  <c r="AZ143" i="2"/>
  <c r="AZ144" i="2"/>
  <c r="AZ145" i="2"/>
  <c r="AZ146" i="2"/>
  <c r="AZ147" i="2"/>
  <c r="AZ148" i="2"/>
  <c r="AZ149" i="2"/>
  <c r="AZ150" i="2"/>
  <c r="AZ151" i="2"/>
  <c r="AZ152" i="2"/>
  <c r="AZ153" i="2"/>
  <c r="AZ154" i="2"/>
  <c r="AZ155" i="2"/>
  <c r="AZ156" i="2"/>
  <c r="AZ157" i="2"/>
  <c r="AZ158" i="2"/>
  <c r="AZ159" i="2"/>
  <c r="AZ160" i="2"/>
  <c r="AZ161" i="2"/>
  <c r="AZ162" i="2"/>
  <c r="AZ163" i="2"/>
  <c r="AZ164" i="2"/>
  <c r="AZ165" i="2"/>
  <c r="AZ166" i="2"/>
  <c r="AZ167" i="2"/>
  <c r="AZ168" i="2"/>
  <c r="AZ169" i="2"/>
  <c r="AZ170" i="2"/>
  <c r="AZ2" i="2"/>
  <c r="AY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AY137" i="2"/>
  <c r="AY138" i="2"/>
  <c r="AY139" i="2"/>
  <c r="AY140" i="2"/>
  <c r="AY141" i="2"/>
  <c r="AY142" i="2"/>
  <c r="AY143" i="2"/>
  <c r="AY144" i="2"/>
  <c r="AY145" i="2"/>
  <c r="AY146" i="2"/>
  <c r="AY147" i="2"/>
  <c r="AY148" i="2"/>
  <c r="AY149" i="2"/>
  <c r="AY150" i="2"/>
  <c r="AY151" i="2"/>
  <c r="AY152" i="2"/>
  <c r="AY153" i="2"/>
  <c r="AY154" i="2"/>
  <c r="AY155" i="2"/>
  <c r="AY156" i="2"/>
  <c r="AY157" i="2"/>
  <c r="AY158" i="2"/>
  <c r="AY159" i="2"/>
  <c r="AY160" i="2"/>
  <c r="AY161" i="2"/>
  <c r="AY162" i="2"/>
  <c r="AY163" i="2"/>
  <c r="AY164" i="2"/>
  <c r="AY165" i="2"/>
  <c r="AY166" i="2"/>
  <c r="AY167" i="2"/>
  <c r="AY168" i="2"/>
  <c r="AY169" i="2"/>
  <c r="AY170" i="2"/>
  <c r="AY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F26" i="2"/>
  <c r="AG26" i="2"/>
  <c r="AH26" i="2"/>
  <c r="AI26" i="2"/>
  <c r="AX26" i="2" s="1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F34" i="2"/>
  <c r="AG34" i="2"/>
  <c r="AH34" i="2"/>
  <c r="AI34" i="2"/>
  <c r="AJ34" i="2"/>
  <c r="AK34" i="2"/>
  <c r="AL34" i="2"/>
  <c r="AX34" i="2" s="1"/>
  <c r="AM34" i="2"/>
  <c r="AN34" i="2"/>
  <c r="AO34" i="2"/>
  <c r="AP34" i="2"/>
  <c r="AQ34" i="2"/>
  <c r="AR34" i="2"/>
  <c r="AS34" i="2"/>
  <c r="AT34" i="2"/>
  <c r="AU34" i="2"/>
  <c r="AV34" i="2"/>
  <c r="AW34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F42" i="2"/>
  <c r="AG42" i="2"/>
  <c r="AH42" i="2"/>
  <c r="AI42" i="2"/>
  <c r="AX42" i="2" s="1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F50" i="2"/>
  <c r="AG50" i="2"/>
  <c r="AH50" i="2"/>
  <c r="AI50" i="2"/>
  <c r="AX50" i="2" s="1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F58" i="2"/>
  <c r="AG58" i="2"/>
  <c r="AH58" i="2"/>
  <c r="AI58" i="2"/>
  <c r="AX58" i="2" s="1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X74" i="2" s="1"/>
  <c r="AU74" i="2"/>
  <c r="AV74" i="2"/>
  <c r="AW74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F90" i="2"/>
  <c r="AG90" i="2"/>
  <c r="AH90" i="2"/>
  <c r="AI90" i="2"/>
  <c r="AJ90" i="2"/>
  <c r="AX90" i="2" s="1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F106" i="2"/>
  <c r="AG106" i="2"/>
  <c r="AH106" i="2"/>
  <c r="AI106" i="2"/>
  <c r="AX106" i="2" s="1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F122" i="2"/>
  <c r="AG122" i="2"/>
  <c r="AH122" i="2"/>
  <c r="AI122" i="2"/>
  <c r="AX122" i="2" s="1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F130" i="2"/>
  <c r="AG130" i="2"/>
  <c r="AH130" i="2"/>
  <c r="AI130" i="2"/>
  <c r="AJ130" i="2"/>
  <c r="AK130" i="2"/>
  <c r="AX130" i="2" s="1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F146" i="2"/>
  <c r="AG146" i="2"/>
  <c r="AH146" i="2"/>
  <c r="AI146" i="2"/>
  <c r="AX146" i="2" s="1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F162" i="2"/>
  <c r="AG162" i="2"/>
  <c r="AH162" i="2"/>
  <c r="AI162" i="2"/>
  <c r="AX162" i="2" s="1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F166" i="2"/>
  <c r="AG166" i="2"/>
  <c r="AH166" i="2"/>
  <c r="AI166" i="2"/>
  <c r="AX166" i="2" s="1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F169" i="2"/>
  <c r="AG169" i="2"/>
  <c r="AH169" i="2"/>
  <c r="AI169" i="2"/>
  <c r="AJ169" i="2"/>
  <c r="AK169" i="2"/>
  <c r="AX169" i="2" s="1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F170" i="2"/>
  <c r="AG170" i="2"/>
  <c r="AH170" i="2"/>
  <c r="AI170" i="2"/>
  <c r="AX170" i="2" s="1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57" i="2" l="1"/>
  <c r="AX159" i="2"/>
  <c r="AX155" i="2"/>
  <c r="AX151" i="2"/>
  <c r="AX147" i="2"/>
  <c r="AX125" i="2"/>
  <c r="AX120" i="2"/>
  <c r="AX116" i="2"/>
  <c r="AX112" i="2"/>
  <c r="AX108" i="2"/>
  <c r="AX82" i="2"/>
  <c r="AX73" i="2"/>
  <c r="AX65" i="2"/>
  <c r="AX47" i="2"/>
  <c r="AX43" i="2"/>
  <c r="AX38" i="2"/>
  <c r="AX29" i="2"/>
  <c r="AX20" i="2"/>
  <c r="AX12" i="2"/>
  <c r="AX4" i="2"/>
  <c r="AX143" i="2"/>
  <c r="AX139" i="2"/>
  <c r="AX135" i="2"/>
  <c r="AX131" i="2"/>
  <c r="AX117" i="2"/>
  <c r="AX109" i="2"/>
  <c r="AX104" i="2"/>
  <c r="AX100" i="2"/>
  <c r="AX96" i="2"/>
  <c r="AX92" i="2"/>
  <c r="AX66" i="2"/>
  <c r="AX57" i="2"/>
  <c r="AX39" i="2"/>
  <c r="AX35" i="2"/>
  <c r="AX30" i="2"/>
  <c r="AX24" i="2"/>
  <c r="AX21" i="2"/>
  <c r="AX16" i="2"/>
  <c r="AX13" i="2"/>
  <c r="AX8" i="2"/>
  <c r="AX5" i="2"/>
  <c r="AX161" i="2"/>
  <c r="AX158" i="2"/>
  <c r="AX153" i="2"/>
  <c r="AX150" i="2"/>
  <c r="AX127" i="2"/>
  <c r="AX123" i="2"/>
  <c r="AX118" i="2"/>
  <c r="AX110" i="2"/>
  <c r="AX101" i="2"/>
  <c r="AX93" i="2"/>
  <c r="AX88" i="2"/>
  <c r="AX84" i="2"/>
  <c r="AX80" i="2"/>
  <c r="AX76" i="2"/>
  <c r="AX49" i="2"/>
  <c r="AX31" i="2"/>
  <c r="AX27" i="2"/>
  <c r="AX22" i="2"/>
  <c r="AX14" i="2"/>
  <c r="AX3" i="2"/>
  <c r="AX154" i="2"/>
  <c r="AX145" i="2"/>
  <c r="AX142" i="2"/>
  <c r="AX137" i="2"/>
  <c r="AX134" i="2"/>
  <c r="AX115" i="2"/>
  <c r="AX107" i="2"/>
  <c r="AX102" i="2"/>
  <c r="AX94" i="2"/>
  <c r="AX85" i="2"/>
  <c r="AX77" i="2"/>
  <c r="AX72" i="2"/>
  <c r="AX68" i="2"/>
  <c r="AX64" i="2"/>
  <c r="AX60" i="2"/>
  <c r="AX41" i="2"/>
  <c r="AX23" i="2"/>
  <c r="AX19" i="2"/>
  <c r="AX15" i="2"/>
  <c r="AX11" i="2"/>
  <c r="AX7" i="2"/>
  <c r="AX119" i="2"/>
  <c r="AX111" i="2"/>
  <c r="AX168" i="2"/>
  <c r="AX164" i="2"/>
  <c r="AX138" i="2"/>
  <c r="AX129" i="2"/>
  <c r="AX126" i="2"/>
  <c r="AX103" i="2"/>
  <c r="AX99" i="2"/>
  <c r="AX95" i="2"/>
  <c r="AX91" i="2"/>
  <c r="AX86" i="2"/>
  <c r="AX78" i="2"/>
  <c r="AX69" i="2"/>
  <c r="AX61" i="2"/>
  <c r="AX56" i="2"/>
  <c r="AX52" i="2"/>
  <c r="AX33" i="2"/>
  <c r="AX165" i="2"/>
  <c r="AX156" i="2"/>
  <c r="AX152" i="2"/>
  <c r="AX148" i="2"/>
  <c r="AX113" i="2"/>
  <c r="AX87" i="2"/>
  <c r="AX83" i="2"/>
  <c r="AX79" i="2"/>
  <c r="AX75" i="2"/>
  <c r="AX70" i="2"/>
  <c r="AX62" i="2"/>
  <c r="AX53" i="2"/>
  <c r="AX48" i="2"/>
  <c r="AX44" i="2"/>
  <c r="AX25" i="2"/>
  <c r="AX17" i="2"/>
  <c r="AX9" i="2"/>
  <c r="AX6" i="2"/>
  <c r="AX121" i="2"/>
  <c r="AX149" i="2"/>
  <c r="AX144" i="2"/>
  <c r="AX140" i="2"/>
  <c r="AX136" i="2"/>
  <c r="AX132" i="2"/>
  <c r="AX114" i="2"/>
  <c r="AX105" i="2"/>
  <c r="AX97" i="2"/>
  <c r="AX71" i="2"/>
  <c r="AX67" i="2"/>
  <c r="AX63" i="2"/>
  <c r="AX59" i="2"/>
  <c r="AX54" i="2"/>
  <c r="AX45" i="2"/>
  <c r="AX40" i="2"/>
  <c r="AX36" i="2"/>
  <c r="AX18" i="2"/>
  <c r="AX10" i="2"/>
  <c r="AX2" i="2"/>
  <c r="AX160" i="2"/>
  <c r="AX167" i="2"/>
  <c r="AX163" i="2"/>
  <c r="AX141" i="2"/>
  <c r="AX133" i="2"/>
  <c r="AX128" i="2"/>
  <c r="AX124" i="2"/>
  <c r="AX98" i="2"/>
  <c r="AX89" i="2"/>
  <c r="AX81" i="2"/>
  <c r="AX55" i="2"/>
  <c r="AX51" i="2"/>
  <c r="AX46" i="2"/>
  <c r="AX37" i="2"/>
  <c r="AX32" i="2"/>
  <c r="AX28" i="2"/>
</calcChain>
</file>

<file path=xl/sharedStrings.xml><?xml version="1.0" encoding="utf-8"?>
<sst xmlns="http://schemas.openxmlformats.org/spreadsheetml/2006/main" count="8224" uniqueCount="147">
  <si>
    <t>ID</t>
  </si>
  <si>
    <t>Start time</t>
  </si>
  <si>
    <t>Completion time</t>
  </si>
  <si>
    <t>Consent</t>
  </si>
  <si>
    <t>What is your year of birth? </t>
  </si>
  <si>
    <t>Please choose your sex</t>
  </si>
  <si>
    <t>Please indicate the year you graduated from the Faculty of Medicine</t>
  </si>
  <si>
    <t>Please indicate your postgraduate qualification(s): (Select all that apply.)</t>
  </si>
  <si>
    <t xml:space="preserve">Do you hold a subspecialty qualification (degree / certificate) in Reproductive Endocrinology and Infertility?
</t>
  </si>
  <si>
    <t>Do you provide clinical care for the management of infertility?</t>
  </si>
  <si>
    <t xml:space="preserve">If yes, for how long have you been providing care for infertility management?
</t>
  </si>
  <si>
    <t>What is your practice setting? (Select all that apply.)</t>
  </si>
  <si>
    <t>Routinely perform preimplantation genetic testing for aneuploidy screening on patients undergoing IVF.</t>
  </si>
  <si>
    <t>Routinely perform assisted hatching on fresh embryos prior to transfer.</t>
  </si>
  <si>
    <t>Prescribe lymphocyte immunization therapy for patients undergoing IVF, those with a history of recurrent implantation failure, or those with recurrent pregnancy loss</t>
  </si>
  <si>
    <t>Prescribe corticosteroids for patients undergoing IVF, those with a history of recurrent implantation failure, or those with recurrent pregnancy loss</t>
  </si>
  <si>
    <t>Routinely administer Progesterone for luteal phase support after IVF/ICSI. </t>
  </si>
  <si>
    <t>Routinely perform sperm DNA fragmentation testing</t>
  </si>
  <si>
    <t>Routinely perform Endometrial receptivity testing</t>
  </si>
  <si>
    <t>Routinely perform hysteroscopy before IVF</t>
  </si>
  <si>
    <t>Use the GnRH antagonist protocol for predicted high responders.</t>
  </si>
  <si>
    <t>Prescribe IVIG for patients undergoing IVF, those with a history of recurrent implantation failure, or those with recurrent pregnancy loss</t>
  </si>
  <si>
    <t>Prescribe leukemia inhibitory factor for patients undergoing IVF, those with a history of recurrent implantation failure, or those with recurrent pregnancy loss</t>
  </si>
  <si>
    <t>Prescribe intralipid therapy for patients undergoing IVF, those with a history of recurrent implantation failure, or those with recurrent pregnancy loss</t>
  </si>
  <si>
    <t>Elective freeze-all is currently recommended for routine use.</t>
  </si>
  <si>
    <t>Routinely recommend Low-Molecular-Weight Heparin for all cases of recurrent implantation failure.</t>
  </si>
  <si>
    <t>Endometrial scratching is recommended for routine use.</t>
  </si>
  <si>
    <t>Do you have access to evidence-based clinical guidelines at your workplace?</t>
  </si>
  <si>
    <t>Which of the following sources do you commonly consult to inform your clinical decision-making? (Select all that apply.)</t>
  </si>
  <si>
    <t>I have read and understood the information provided above and agree to participate in this study. I provide my informed consent electronically.</t>
  </si>
  <si>
    <t>Male</t>
  </si>
  <si>
    <t>MRCOG;Master of Science;</t>
  </si>
  <si>
    <t>No</t>
  </si>
  <si>
    <t>Yes</t>
  </si>
  <si>
    <t>Less than 5 years</t>
  </si>
  <si>
    <t>Private clinic;University hospital ;</t>
  </si>
  <si>
    <t>Unsure</t>
  </si>
  <si>
    <t>Agree</t>
  </si>
  <si>
    <t>Disagree</t>
  </si>
  <si>
    <t>Strongly agree</t>
  </si>
  <si>
    <t>International guidlines;</t>
  </si>
  <si>
    <t>Doctorate ;MRCOG;</t>
  </si>
  <si>
    <t>More than 10 years</t>
  </si>
  <si>
    <t>University hospital ;</t>
  </si>
  <si>
    <t>Female </t>
  </si>
  <si>
    <t>Doctorate ;</t>
  </si>
  <si>
    <t>University hospital ;Private hospital/center ;Private clinic;</t>
  </si>
  <si>
    <t>Strongly disagree</t>
  </si>
  <si>
    <t>Colleagues;International guidlines;</t>
  </si>
  <si>
    <t>5 –10 years</t>
  </si>
  <si>
    <t>Master of Science;</t>
  </si>
  <si>
    <t>University hospital ;Private hospital/center ;</t>
  </si>
  <si>
    <t>Colleagues;</t>
  </si>
  <si>
    <t>Master of Science;MRCOG;</t>
  </si>
  <si>
    <t>International guidlines;Colleagues;National guidelines ;</t>
  </si>
  <si>
    <t>International guidlines;Colleagues;</t>
  </si>
  <si>
    <t>University hospital ;Private clinic;Private hospital/center ;</t>
  </si>
  <si>
    <t>International guidlines;National guidelines ;</t>
  </si>
  <si>
    <t>Doctorate ;Master of Science;</t>
  </si>
  <si>
    <t>International guidlines;Peer-reviewed journals;Colleagues;</t>
  </si>
  <si>
    <t>International guidlines;Colleagues;Peer-reviewed journals;</t>
  </si>
  <si>
    <t>Doctorate ;Master of Science;Diploma;</t>
  </si>
  <si>
    <t>Private hospital/center ;</t>
  </si>
  <si>
    <t>MRCOG;Doctorate ;</t>
  </si>
  <si>
    <t>University hospital ;Private clinic;</t>
  </si>
  <si>
    <t>National guidelines ;</t>
  </si>
  <si>
    <t>Five to ten years</t>
  </si>
  <si>
    <t>Doctorate ;Master of Science;MRCOG;</t>
  </si>
  <si>
    <t>International guidlines;National guidelines ;Colleagues;</t>
  </si>
  <si>
    <t>MRCOG;Master of Science;Egyptian fellowship;</t>
  </si>
  <si>
    <t>Public hospital ;</t>
  </si>
  <si>
    <t>Peer-reviewed journals;</t>
  </si>
  <si>
    <t>Private clinic;</t>
  </si>
  <si>
    <t>International guidlines;Peer-reviewed journals;</t>
  </si>
  <si>
    <t>Public hospital ;Private hospital/center ;</t>
  </si>
  <si>
    <t>Diploma;</t>
  </si>
  <si>
    <t>Private hospital/center ;Private clinic;Public hospital ;</t>
  </si>
  <si>
    <t>Master of Science;Doctorate ;</t>
  </si>
  <si>
    <t>National guidelines ;International guidlines;Colleagues;</t>
  </si>
  <si>
    <t>University hospital ;Public hospital ;Private hospital/center ;Private clinic;</t>
  </si>
  <si>
    <t>International guidlines;Medical reps;</t>
  </si>
  <si>
    <t>Private hospital/center ;Private clinic;</t>
  </si>
  <si>
    <t>National guidelines ;International guidlines;</t>
  </si>
  <si>
    <t>Public hospital ;Private hospital/center ;Private clinic;</t>
  </si>
  <si>
    <t>Public hospital ;Private clinic;</t>
  </si>
  <si>
    <t>Public hospital ;Private hospital/center ;Private clinic;University hospital ;</t>
  </si>
  <si>
    <t>Master of Science;Doctorate ;Diploma;</t>
  </si>
  <si>
    <t>National guidelines ;International guidlines;Peer-reviewed journals;</t>
  </si>
  <si>
    <t>Diploma;Master of Science;Doctorate ;</t>
  </si>
  <si>
    <t>MRCOG;</t>
  </si>
  <si>
    <t>International guidlines;Peer-reviewed journals;National guidelines ;</t>
  </si>
  <si>
    <t>Private clinic;Private hospital/center ;</t>
  </si>
  <si>
    <t>Master of Science;Diploma;</t>
  </si>
  <si>
    <t>National guidelines ;Colleagues;Medical reps;</t>
  </si>
  <si>
    <t>International guidlines;Colleagues;National guidelines ;Peer-reviewed journals;</t>
  </si>
  <si>
    <t>University hospital ;Public hospital ;</t>
  </si>
  <si>
    <t>Diploma;Master of Science;</t>
  </si>
  <si>
    <t>Doctorate ;PhD;</t>
  </si>
  <si>
    <t>Private hospital/center ;Public hospital ;</t>
  </si>
  <si>
    <t>MRCOG;Doctorate ;Master of Science;</t>
  </si>
  <si>
    <t>International guidlines;Colleagues;Medical reps;Peer-reviewed journals;</t>
  </si>
  <si>
    <t>National guidelines ;International guidlines;Medical reps;Peer-reviewed journals;</t>
  </si>
  <si>
    <t>National guidelines ;International guidlines;Peer-reviewed journals;Social media;</t>
  </si>
  <si>
    <t>University hospital ;Private hospital/center ;Private clinic;Public hospital ;</t>
  </si>
  <si>
    <t>National guidelines ;International guidlines;Peer-reviewed journals;Colleagues;</t>
  </si>
  <si>
    <t>مسجلة ماستر;</t>
  </si>
  <si>
    <t>National guidelines ;Colleagues;International guidlines;</t>
  </si>
  <si>
    <t>Private hospital/center ;Public hospital ;Private clinic;</t>
  </si>
  <si>
    <t>بورد مصري;</t>
  </si>
  <si>
    <t>Private clinic;Public hospital ;</t>
  </si>
  <si>
    <t>International guidlines;National guidelines ;Peer-reviewed journals;Colleagues;</t>
  </si>
  <si>
    <t>Master of Science;Doctorate ;MRCOG;</t>
  </si>
  <si>
    <t>International guidlines;National guidelines ;Colleagues;Medical reps;Social media;</t>
  </si>
  <si>
    <t>Private clinic;Private hospital/center ;Public hospital ;</t>
  </si>
  <si>
    <t>Master of Science;Diploma;Doctorate ;</t>
  </si>
  <si>
    <t>Public hospital ;University hospital ;</t>
  </si>
  <si>
    <t>Master of Science;EGBOG, Diploma of laproscopic surgery ;</t>
  </si>
  <si>
    <t>age</t>
  </si>
  <si>
    <t>duration</t>
  </si>
  <si>
    <t>pg_yrs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</si>
  <si>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</si>
  <si>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</si>
  <si>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</si>
  <si>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</si>
  <si>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</si>
  <si>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</si>
  <si>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</si>
  <si>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</si>
  <si>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</si>
  <si>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</si>
  <si>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</si>
  <si>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</si>
  <si>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</si>
  <si>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</si>
  <si>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</si>
  <si>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kscore</t>
  </si>
  <si>
    <t>subsp</t>
  </si>
  <si>
    <t>glaccess</t>
  </si>
  <si>
    <t>gender</t>
  </si>
  <si>
    <t>Egyptian Board</t>
  </si>
  <si>
    <t>degree</t>
  </si>
  <si>
    <t>provision</t>
  </si>
  <si>
    <t>pro_duration</t>
  </si>
  <si>
    <t>facility</t>
  </si>
  <si>
    <t>participant</t>
  </si>
  <si>
    <t>facility_private</t>
  </si>
  <si>
    <t>facility_public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</si>
</sst>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3" fillId="0" borderId="0" xfId="0" applyFont="1"/>
    <xf numFmtId="164" fontId="3" fillId="0" borderId="0" xfId="0" applyNumberFormat="1" applyFont="1"/>
    <xf numFmtId="0" fontId="3" fillId="0" borderId="0" xfId="0" quotePrefix="1" applyFont="1"/>
    <xf numFmtId="45" fontId="0" fillId="0" borderId="0" xfId="0" applyNumberFormat="1"/>
    <xf numFmtId="1" fontId="0" fillId="0" borderId="0" xfId="0" applyNumberFormat="1"/>
    <xf numFmtId="0" fontId="2" fillId="0" borderId="0" xfId="0" applyFon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60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m/d/yy\ h:mm:ss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m/d/yy\ h:mm:ss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C170" totalsRowShown="0">
  <autoFilter ref="A1:AC170" xr:uid="{00000000-0009-0000-0100-000001000000}"/>
  <tableColumns count="29">
    <tableColumn id="1" xr3:uid="{00000000-0010-0000-0000-000001000000}" name="ID" dataDxfId="59"/>
    <tableColumn id="2" xr3:uid="{00000000-0010-0000-0000-000002000000}" name="Start time" dataDxfId="58"/>
    <tableColumn id="3" xr3:uid="{00000000-0010-0000-0000-000003000000}" name="Completion time" dataDxfId="57"/>
    <tableColumn id="7" xr3:uid="{00000000-0010-0000-0000-000007000000}" name="Consent" dataDxfId="56"/>
    <tableColumn id="8" xr3:uid="{00000000-0010-0000-0000-000008000000}" name="What is your year of birth? " dataDxfId="55"/>
    <tableColumn id="9" xr3:uid="{00000000-0010-0000-0000-000009000000}" name="Please choose your sex" dataDxfId="54"/>
    <tableColumn id="10" xr3:uid="{00000000-0010-0000-0000-00000A000000}" name="Please indicate the year you graduated from the Faculty of Medicine" dataDxfId="53"/>
    <tableColumn id="11" xr3:uid="{00000000-0010-0000-0000-00000B000000}" name="Please indicate your postgraduate qualification(s): (Select all that apply.)" dataDxfId="52"/>
    <tableColumn id="12" xr3:uid="{00000000-0010-0000-0000-00000C000000}" name="Do you hold a subspecialty qualification (degree / certificate) in Reproductive Endocrinology and Infertility?_x000a_" dataDxfId="51"/>
    <tableColumn id="13" xr3:uid="{00000000-0010-0000-0000-00000D000000}" name="Do you provide clinical care for the management of infertility?" dataDxfId="50"/>
    <tableColumn id="14" xr3:uid="{00000000-0010-0000-0000-00000E000000}" name="If yes, for how long have you been providing care for infertility management?_x000a_" dataDxfId="49"/>
    <tableColumn id="15" xr3:uid="{00000000-0010-0000-0000-00000F000000}" name="What is your practice setting? (Select all that apply.)" dataDxfId="48"/>
    <tableColumn id="16" xr3:uid="{00000000-0010-0000-0000-000010000000}" name="Routinely perform preimplantation genetic testing for aneuploidy screening on patients undergoing IVF." dataDxfId="47"/>
    <tableColumn id="17" xr3:uid="{00000000-0010-0000-0000-000011000000}" name="Routinely perform assisted hatching on fresh embryos prior to transfer." dataDxfId="46"/>
    <tableColumn id="18" xr3:uid="{00000000-0010-0000-0000-000012000000}" name="Prescribe lymphocyte immunization therapy for patients undergoing IVF, those with a history of recurrent implantation failure, or those with recurrent pregnancy loss" dataDxfId="45"/>
    <tableColumn id="19" xr3:uid="{00000000-0010-0000-0000-000013000000}" name="Prescribe corticosteroids for patients undergoing IVF, those with a history of recurrent implantation failure, or those with recurrent pregnancy loss" dataDxfId="44"/>
    <tableColumn id="20" xr3:uid="{00000000-0010-0000-0000-000014000000}" name="Routinely administer Progesterone for luteal phase support after IVF/ICSI. " dataDxfId="43"/>
    <tableColumn id="21" xr3:uid="{00000000-0010-0000-0000-000015000000}" name="Routinely perform sperm DNA fragmentation testing" dataDxfId="42"/>
    <tableColumn id="22" xr3:uid="{00000000-0010-0000-0000-000016000000}" name="Routinely perform Endometrial receptivity testing" dataDxfId="41"/>
    <tableColumn id="23" xr3:uid="{00000000-0010-0000-0000-000017000000}" name="Routinely perform hysteroscopy before IVF" dataDxfId="40"/>
    <tableColumn id="24" xr3:uid="{00000000-0010-0000-0000-000018000000}" name="Use the GnRH antagonist protocol for predicted high responders." dataDxfId="39"/>
    <tableColumn id="25" xr3:uid="{00000000-0010-0000-0000-000019000000}" name="Prescribe IVIG for patients undergoing IVF, those with a history of recurrent implantation failure, or those with recurrent pregnancy loss" dataDxfId="38"/>
    <tableColumn id="26" xr3:uid="{00000000-0010-0000-0000-00001A000000}" name="Prescribe leukemia inhibitory factor for patients undergoing IVF, those with a history of recurrent implantation failure, or those with recurrent pregnancy loss" dataDxfId="37"/>
    <tableColumn id="27" xr3:uid="{00000000-0010-0000-0000-00001B000000}" name="Prescribe intralipid therapy for patients undergoing IVF, those with a history of recurrent implantation failure, or those with recurrent pregnancy loss" dataDxfId="36"/>
    <tableColumn id="28" xr3:uid="{00000000-0010-0000-0000-00001C000000}" name="Elective freeze-all is currently recommended for routine use." dataDxfId="35"/>
    <tableColumn id="29" xr3:uid="{00000000-0010-0000-0000-00001D000000}" name="Routinely recommend Low-Molecular-Weight Heparin for all cases of recurrent implantation failure." dataDxfId="34"/>
    <tableColumn id="30" xr3:uid="{00000000-0010-0000-0000-00001E000000}" name="Endometrial scratching is recommended for routine use." dataDxfId="33"/>
    <tableColumn id="31" xr3:uid="{00000000-0010-0000-0000-00001F000000}" name="Do you have access to evidence-based clinical guidelines at your workplace?" dataDxfId="32"/>
    <tableColumn id="32" xr3:uid="{00000000-0010-0000-0000-000020000000}" name="Which of the following sources do you commonly consult to inform your clinical decision-making? (Select all that apply.)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858164-D962-A347-A302-A8AF15FE9E4B}" name="Table13" displayName="Table13" ref="A1:AC170" totalsRowShown="0" headerRowDxfId="30" dataDxfId="29" headerRowCellStyle="Normal">
  <autoFilter ref="A1:AC170" xr:uid="{BF858164-D962-A347-A302-A8AF15FE9E4B}"/>
  <sortState xmlns:xlrd2="http://schemas.microsoft.com/office/spreadsheetml/2017/richdata2" ref="A2:AC170">
    <sortCondition ref="J1:J170"/>
  </sortState>
  <tableColumns count="29">
    <tableColumn id="1" xr3:uid="{6D2BC71F-E227-8A44-951B-C4C6C5497E99}" name="ID" dataDxfId="28"/>
    <tableColumn id="2" xr3:uid="{2583BD77-292C-A14E-8E35-D78BCAD81414}" name="Start time" dataDxfId="27"/>
    <tableColumn id="3" xr3:uid="{42B89D5C-70C4-624C-BCB7-AEA68C840BB8}" name="Completion time" dataDxfId="26"/>
    <tableColumn id="7" xr3:uid="{F3AE1E26-C8FA-C148-B722-119790EEEDC9}" name="Consent" dataDxfId="25"/>
    <tableColumn id="8" xr3:uid="{2FEE926E-F561-A549-847A-5E5BDDBC6984}" name="What is your year of birth? " dataDxfId="24"/>
    <tableColumn id="9" xr3:uid="{2AC1AC54-5D65-5E49-9F99-A38C3D0D8670}" name="Please choose your sex" dataDxfId="23"/>
    <tableColumn id="10" xr3:uid="{177BAD45-9453-7041-96C6-A3792EF2D96F}" name="Please indicate the year you graduated from the Faculty of Medicine" dataDxfId="22"/>
    <tableColumn id="11" xr3:uid="{B5A189C8-AD01-624D-8D53-E99A1B7B11F9}" name="Please indicate your postgraduate qualification(s): (Select all that apply.)" dataDxfId="21"/>
    <tableColumn id="12" xr3:uid="{43D983FF-EA06-4D4C-9BB2-4E9FFFDDAB32}" name="Do you hold a subspecialty qualification (degree / certificate) in Reproductive Endocrinology and Infertility?_x000a_" dataDxfId="20"/>
    <tableColumn id="13" xr3:uid="{DD88ED37-BCA5-D54D-A2F3-389E3563BEFE}" name="Do you provide clinical care for the management of infertility?" dataDxfId="19"/>
    <tableColumn id="14" xr3:uid="{1EFCBAD4-0D16-DB40-8F46-32424D19D989}" name="If yes, for how long have you been providing care for infertility management?_x000a_" dataDxfId="18"/>
    <tableColumn id="15" xr3:uid="{7E6B034A-B40E-5847-B7D5-389FCDE61E72}" name="What is your practice setting? (Select all that apply.)" dataDxfId="17"/>
    <tableColumn id="16" xr3:uid="{25E2ABD7-E455-5848-8B56-DC6865593FF8}" name="Routinely perform preimplantation genetic testing for aneuploidy screening on patients undergoing IVF." dataDxfId="16"/>
    <tableColumn id="17" xr3:uid="{0B372720-7C7C-B247-A5FE-6A8A54AD43C2}" name="Routinely perform assisted hatching on fresh embryos prior to transfer." dataDxfId="15"/>
    <tableColumn id="18" xr3:uid="{3149CE8E-73F2-F24C-BBB8-644577B01735}" name="Prescribe lymphocyte immunization therapy for patients undergoing IVF, those with a history of recurrent implantation failure, or those with recurrent pregnancy loss" dataDxfId="14"/>
    <tableColumn id="19" xr3:uid="{FEEB912A-113B-034B-8983-4808E1E51361}" name="Prescribe corticosteroids for patients undergoing IVF, those with a history of recurrent implantation failure, or those with recurrent pregnancy loss" dataDxfId="13"/>
    <tableColumn id="20" xr3:uid="{588BE9B7-95C4-0D45-9919-AFE697CB0E19}" name="Routinely administer Progesterone for luteal phase support after IVF/ICSI. " dataDxfId="12"/>
    <tableColumn id="21" xr3:uid="{0088BFFE-B711-A149-A903-598D8B16B1A1}" name="Routinely perform sperm DNA fragmentation testing" dataDxfId="11"/>
    <tableColumn id="22" xr3:uid="{AC0D9078-1401-164B-A263-56E3AC6B4045}" name="Routinely perform Endometrial receptivity testing" dataDxfId="10"/>
    <tableColumn id="23" xr3:uid="{99081CD8-C5AD-DA42-9542-0AAB1177EDA8}" name="Routinely perform hysteroscopy before IVF" dataDxfId="9"/>
    <tableColumn id="24" xr3:uid="{0CED8B0C-6907-AC4C-B15E-60B81BEC59EA}" name="Use the GnRH antagonist protocol for predicted high responders." dataDxfId="8"/>
    <tableColumn id="25" xr3:uid="{6C9055A0-5B20-4A45-BD10-65A7F638594F}" name="Prescribe IVIG for patients undergoing IVF, those with a history of recurrent implantation failure, or those with recurrent pregnancy loss" dataDxfId="7"/>
    <tableColumn id="26" xr3:uid="{F0026DDD-58AE-6B48-BE8D-92C0FA0EC9E4}" name="Prescribe leukemia inhibitory factor for patients undergoing IVF, those with a history of recurrent implantation failure, or those with recurrent pregnancy loss" dataDxfId="6"/>
    <tableColumn id="27" xr3:uid="{6CC87CD1-DA0A-1041-A7A3-B86BA9C9D237}" name="Prescribe intralipid therapy for patients undergoing IVF, those with a history of recurrent implantation failure, or those with recurrent pregnancy loss" dataDxfId="5"/>
    <tableColumn id="28" xr3:uid="{45858382-5DF0-DC44-A705-3C3559459E1F}" name="Elective freeze-all is currently recommended for routine use." dataDxfId="4"/>
    <tableColumn id="29" xr3:uid="{975465FB-30C7-0E42-BED8-6F7BDAB5185A}" name="Routinely recommend Low-Molecular-Weight Heparin for all cases of recurrent implantation failure." dataDxfId="3"/>
    <tableColumn id="30" xr3:uid="{3BD26AB0-306D-E049-AF97-6C84BB884219}" name="Endometrial scratching is recommended for routine use." dataDxfId="2"/>
    <tableColumn id="31" xr3:uid="{6594BE93-6A92-6044-A542-CED905F6B114}" name="Do you have access to evidence-based clinical guidelines at your workplace?" dataDxfId="1"/>
    <tableColumn id="32" xr3:uid="{98EC5343-6A76-2B4B-BE58-801797C8720F}" name="Which of the following sources do you commonly consult to inform your clinical decision-making? (Select all that apply.)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AC170"/>
  <sheetViews>
    <sheetView workbookViewId="0">
      <selection activeCell="C1" sqref="C1"/>
    </sheetView>
  </sheetViews>
  <sheetFormatPr baseColWidth="10" defaultColWidth="8.83203125" defaultRowHeight="15" x14ac:dyDescent="0.2"/>
  <cols>
    <col min="1" max="28" width="20" bestFit="1" customWidth="1"/>
    <col min="29" max="29" width="102.3320312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</v>
      </c>
      <c r="B2" s="1">
        <v>46109.581261574072</v>
      </c>
      <c r="C2" s="1">
        <v>46109.584317129629</v>
      </c>
      <c r="D2" t="s">
        <v>29</v>
      </c>
      <c r="E2" s="2">
        <v>1994</v>
      </c>
      <c r="F2" t="s">
        <v>30</v>
      </c>
      <c r="G2" s="2">
        <v>2010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36</v>
      </c>
      <c r="O2" t="s">
        <v>36</v>
      </c>
      <c r="P2" t="s">
        <v>37</v>
      </c>
      <c r="Q2" t="s">
        <v>37</v>
      </c>
      <c r="R2" t="s">
        <v>38</v>
      </c>
      <c r="S2" t="s">
        <v>38</v>
      </c>
      <c r="T2" t="s">
        <v>36</v>
      </c>
      <c r="U2" t="s">
        <v>39</v>
      </c>
      <c r="V2" t="s">
        <v>38</v>
      </c>
      <c r="W2" t="s">
        <v>38</v>
      </c>
      <c r="X2" t="s">
        <v>36</v>
      </c>
      <c r="Y2" t="s">
        <v>36</v>
      </c>
      <c r="Z2" t="s">
        <v>37</v>
      </c>
      <c r="AA2" t="s">
        <v>38</v>
      </c>
      <c r="AB2" t="s">
        <v>33</v>
      </c>
      <c r="AC2" t="s">
        <v>40</v>
      </c>
    </row>
    <row r="3" spans="1:29" x14ac:dyDescent="0.2">
      <c r="A3">
        <v>2</v>
      </c>
      <c r="B3" s="1">
        <v>46109.617025462961</v>
      </c>
      <c r="C3" s="1">
        <v>46109.620763888888</v>
      </c>
      <c r="D3" t="s">
        <v>29</v>
      </c>
      <c r="E3" s="2">
        <v>1985</v>
      </c>
      <c r="F3" t="s">
        <v>30</v>
      </c>
      <c r="G3" s="2">
        <v>2008</v>
      </c>
      <c r="H3" t="s">
        <v>41</v>
      </c>
      <c r="I3" t="s">
        <v>32</v>
      </c>
      <c r="J3" t="s">
        <v>33</v>
      </c>
      <c r="K3" t="s">
        <v>42</v>
      </c>
      <c r="L3" t="s">
        <v>43</v>
      </c>
      <c r="M3" t="s">
        <v>38</v>
      </c>
      <c r="N3" t="s">
        <v>38</v>
      </c>
      <c r="O3" t="s">
        <v>38</v>
      </c>
      <c r="P3" t="s">
        <v>37</v>
      </c>
      <c r="Q3" t="s">
        <v>39</v>
      </c>
      <c r="R3" t="s">
        <v>38</v>
      </c>
      <c r="S3" t="s">
        <v>38</v>
      </c>
      <c r="T3" t="s">
        <v>39</v>
      </c>
      <c r="U3" t="s">
        <v>37</v>
      </c>
      <c r="V3" t="s">
        <v>38</v>
      </c>
      <c r="W3" t="s">
        <v>38</v>
      </c>
      <c r="X3" t="s">
        <v>36</v>
      </c>
      <c r="Y3" t="s">
        <v>39</v>
      </c>
      <c r="Z3" t="s">
        <v>37</v>
      </c>
      <c r="AA3" t="s">
        <v>38</v>
      </c>
      <c r="AB3" t="s">
        <v>33</v>
      </c>
      <c r="AC3" t="s">
        <v>40</v>
      </c>
    </row>
    <row r="4" spans="1:29" x14ac:dyDescent="0.2">
      <c r="A4">
        <v>3</v>
      </c>
      <c r="B4" s="1">
        <v>46109.754780092589</v>
      </c>
      <c r="C4" s="1">
        <v>46109.756782407407</v>
      </c>
      <c r="D4" t="s">
        <v>29</v>
      </c>
      <c r="E4" s="2">
        <v>1992</v>
      </c>
      <c r="F4" t="s">
        <v>44</v>
      </c>
      <c r="G4" s="2">
        <v>2015</v>
      </c>
      <c r="H4" t="s">
        <v>45</v>
      </c>
      <c r="I4" t="s">
        <v>32</v>
      </c>
      <c r="J4" t="s">
        <v>33</v>
      </c>
      <c r="K4" t="s">
        <v>34</v>
      </c>
      <c r="L4" t="s">
        <v>46</v>
      </c>
      <c r="M4" t="s">
        <v>47</v>
      </c>
      <c r="N4" t="s">
        <v>47</v>
      </c>
      <c r="O4" t="s">
        <v>38</v>
      </c>
      <c r="P4" t="s">
        <v>37</v>
      </c>
      <c r="Q4" t="s">
        <v>39</v>
      </c>
      <c r="R4" t="s">
        <v>38</v>
      </c>
      <c r="S4" t="s">
        <v>47</v>
      </c>
      <c r="T4" t="s">
        <v>38</v>
      </c>
      <c r="U4" t="s">
        <v>39</v>
      </c>
      <c r="V4" t="s">
        <v>47</v>
      </c>
      <c r="W4" t="s">
        <v>47</v>
      </c>
      <c r="X4" t="s">
        <v>36</v>
      </c>
      <c r="Y4" t="s">
        <v>38</v>
      </c>
      <c r="Z4" t="s">
        <v>37</v>
      </c>
      <c r="AA4" t="s">
        <v>47</v>
      </c>
      <c r="AB4" t="s">
        <v>32</v>
      </c>
      <c r="AC4" t="s">
        <v>48</v>
      </c>
    </row>
    <row r="5" spans="1:29" x14ac:dyDescent="0.2">
      <c r="A5">
        <v>4</v>
      </c>
      <c r="B5" s="1">
        <v>46109.773541666669</v>
      </c>
      <c r="C5" s="1">
        <v>46109.777280092596</v>
      </c>
      <c r="D5" t="s">
        <v>29</v>
      </c>
      <c r="E5" s="2">
        <v>1989</v>
      </c>
      <c r="F5" t="s">
        <v>30</v>
      </c>
      <c r="G5" s="2">
        <v>2012</v>
      </c>
      <c r="H5" t="s">
        <v>45</v>
      </c>
      <c r="I5" t="s">
        <v>33</v>
      </c>
      <c r="J5" t="s">
        <v>33</v>
      </c>
      <c r="K5" t="s">
        <v>49</v>
      </c>
      <c r="L5" t="s">
        <v>43</v>
      </c>
      <c r="M5" t="s">
        <v>47</v>
      </c>
      <c r="N5" t="s">
        <v>36</v>
      </c>
      <c r="O5" t="s">
        <v>36</v>
      </c>
      <c r="P5" t="s">
        <v>37</v>
      </c>
      <c r="Q5" t="s">
        <v>39</v>
      </c>
      <c r="R5" t="s">
        <v>47</v>
      </c>
      <c r="S5" t="s">
        <v>47</v>
      </c>
      <c r="T5" t="s">
        <v>47</v>
      </c>
      <c r="U5" t="s">
        <v>39</v>
      </c>
      <c r="V5" t="s">
        <v>47</v>
      </c>
      <c r="W5" t="s">
        <v>38</v>
      </c>
      <c r="X5" t="s">
        <v>47</v>
      </c>
      <c r="Y5" t="s">
        <v>47</v>
      </c>
      <c r="Z5" t="s">
        <v>39</v>
      </c>
      <c r="AA5" t="s">
        <v>47</v>
      </c>
      <c r="AB5" t="s">
        <v>33</v>
      </c>
      <c r="AC5" t="s">
        <v>40</v>
      </c>
    </row>
    <row r="6" spans="1:29" x14ac:dyDescent="0.2">
      <c r="A6">
        <v>5</v>
      </c>
      <c r="B6" s="1">
        <v>46109.780162037037</v>
      </c>
      <c r="C6" s="1">
        <v>46109.782314814816</v>
      </c>
      <c r="D6" t="s">
        <v>29</v>
      </c>
      <c r="E6" s="2">
        <v>1995</v>
      </c>
      <c r="F6" t="s">
        <v>30</v>
      </c>
      <c r="G6" s="2">
        <v>2019</v>
      </c>
      <c r="H6" t="s">
        <v>50</v>
      </c>
      <c r="I6" t="s">
        <v>32</v>
      </c>
      <c r="J6" t="s">
        <v>32</v>
      </c>
      <c r="K6" t="s">
        <v>34</v>
      </c>
      <c r="L6" t="s">
        <v>51</v>
      </c>
      <c r="M6" t="s">
        <v>36</v>
      </c>
      <c r="N6" t="s">
        <v>36</v>
      </c>
      <c r="O6" t="s">
        <v>38</v>
      </c>
      <c r="P6" t="s">
        <v>37</v>
      </c>
      <c r="Q6" t="s">
        <v>37</v>
      </c>
      <c r="R6" t="s">
        <v>36</v>
      </c>
      <c r="S6" t="s">
        <v>38</v>
      </c>
      <c r="T6" t="s">
        <v>38</v>
      </c>
      <c r="U6" t="s">
        <v>37</v>
      </c>
      <c r="V6" t="s">
        <v>38</v>
      </c>
      <c r="W6" t="s">
        <v>38</v>
      </c>
      <c r="X6" t="s">
        <v>36</v>
      </c>
      <c r="Y6" t="s">
        <v>38</v>
      </c>
      <c r="Z6" t="s">
        <v>37</v>
      </c>
      <c r="AA6" t="s">
        <v>36</v>
      </c>
      <c r="AB6" t="s">
        <v>32</v>
      </c>
      <c r="AC6" t="s">
        <v>52</v>
      </c>
    </row>
    <row r="7" spans="1:29" x14ac:dyDescent="0.2">
      <c r="A7">
        <v>6</v>
      </c>
      <c r="B7" s="1">
        <v>46109.786134259259</v>
      </c>
      <c r="C7" s="1">
        <v>46109.788923611108</v>
      </c>
      <c r="D7" t="s">
        <v>29</v>
      </c>
      <c r="E7" s="2">
        <v>1995</v>
      </c>
      <c r="F7" t="s">
        <v>44</v>
      </c>
      <c r="G7" s="2">
        <v>2020</v>
      </c>
      <c r="H7" t="s">
        <v>53</v>
      </c>
      <c r="I7" t="s">
        <v>32</v>
      </c>
      <c r="J7" t="s">
        <v>32</v>
      </c>
      <c r="K7" t="s">
        <v>34</v>
      </c>
      <c r="L7" t="s">
        <v>43</v>
      </c>
      <c r="M7" t="s">
        <v>37</v>
      </c>
      <c r="N7" t="s">
        <v>36</v>
      </c>
      <c r="O7" t="s">
        <v>37</v>
      </c>
      <c r="P7" t="s">
        <v>37</v>
      </c>
      <c r="Q7" t="s">
        <v>37</v>
      </c>
      <c r="R7" t="s">
        <v>38</v>
      </c>
      <c r="S7" t="s">
        <v>37</v>
      </c>
      <c r="T7" t="s">
        <v>37</v>
      </c>
      <c r="U7" t="s">
        <v>37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33</v>
      </c>
      <c r="AC7" t="s">
        <v>40</v>
      </c>
    </row>
    <row r="8" spans="1:29" x14ac:dyDescent="0.2">
      <c r="A8">
        <v>7</v>
      </c>
      <c r="B8" s="1">
        <v>46109.976967592593</v>
      </c>
      <c r="C8" s="1">
        <v>46109.98232638889</v>
      </c>
      <c r="D8" t="s">
        <v>29</v>
      </c>
      <c r="E8" s="2">
        <v>1996</v>
      </c>
      <c r="F8" t="s">
        <v>44</v>
      </c>
      <c r="G8" s="2">
        <v>2020</v>
      </c>
      <c r="H8" t="s">
        <v>53</v>
      </c>
      <c r="I8" t="s">
        <v>32</v>
      </c>
      <c r="J8" t="s">
        <v>33</v>
      </c>
      <c r="K8" t="s">
        <v>34</v>
      </c>
      <c r="L8" t="s">
        <v>43</v>
      </c>
      <c r="M8" t="s">
        <v>37</v>
      </c>
      <c r="N8" t="s">
        <v>38</v>
      </c>
      <c r="O8" t="s">
        <v>38</v>
      </c>
      <c r="P8" t="s">
        <v>38</v>
      </c>
      <c r="Q8" t="s">
        <v>39</v>
      </c>
      <c r="R8" t="s">
        <v>37</v>
      </c>
      <c r="S8" t="s">
        <v>38</v>
      </c>
      <c r="T8" t="s">
        <v>38</v>
      </c>
      <c r="U8" t="s">
        <v>39</v>
      </c>
      <c r="V8" t="s">
        <v>36</v>
      </c>
      <c r="W8" t="s">
        <v>36</v>
      </c>
      <c r="X8" t="s">
        <v>37</v>
      </c>
      <c r="Y8" t="s">
        <v>37</v>
      </c>
      <c r="Z8" t="s">
        <v>37</v>
      </c>
      <c r="AA8" t="s">
        <v>38</v>
      </c>
      <c r="AB8" t="s">
        <v>32</v>
      </c>
      <c r="AC8" t="s">
        <v>54</v>
      </c>
    </row>
    <row r="9" spans="1:29" x14ac:dyDescent="0.2">
      <c r="A9">
        <v>8</v>
      </c>
      <c r="B9" s="1">
        <v>46110.417442129627</v>
      </c>
      <c r="C9" s="1">
        <v>46110.42087962963</v>
      </c>
      <c r="D9" t="s">
        <v>29</v>
      </c>
      <c r="E9" s="2">
        <v>1996</v>
      </c>
      <c r="F9" t="s">
        <v>30</v>
      </c>
      <c r="G9" s="2">
        <v>2020</v>
      </c>
      <c r="H9" t="s">
        <v>50</v>
      </c>
      <c r="I9" t="s">
        <v>33</v>
      </c>
      <c r="J9" t="s">
        <v>33</v>
      </c>
      <c r="K9" t="s">
        <v>34</v>
      </c>
      <c r="L9" t="s">
        <v>43</v>
      </c>
      <c r="M9" t="s">
        <v>38</v>
      </c>
      <c r="N9" t="s">
        <v>36</v>
      </c>
      <c r="O9" t="s">
        <v>36</v>
      </c>
      <c r="P9" t="s">
        <v>47</v>
      </c>
      <c r="Q9" t="s">
        <v>47</v>
      </c>
      <c r="R9" t="s">
        <v>38</v>
      </c>
      <c r="S9" t="s">
        <v>47</v>
      </c>
      <c r="T9" t="s">
        <v>47</v>
      </c>
      <c r="U9" t="s">
        <v>37</v>
      </c>
      <c r="V9" t="s">
        <v>38</v>
      </c>
      <c r="W9" t="s">
        <v>38</v>
      </c>
      <c r="X9" t="s">
        <v>37</v>
      </c>
      <c r="Y9" t="s">
        <v>37</v>
      </c>
      <c r="Z9" t="s">
        <v>37</v>
      </c>
      <c r="AA9" t="s">
        <v>38</v>
      </c>
      <c r="AB9" t="s">
        <v>33</v>
      </c>
      <c r="AC9" t="s">
        <v>55</v>
      </c>
    </row>
    <row r="10" spans="1:29" x14ac:dyDescent="0.2">
      <c r="A10">
        <v>9</v>
      </c>
      <c r="B10" s="1">
        <v>46110.63386574074</v>
      </c>
      <c r="C10" s="1">
        <v>46110.635925925926</v>
      </c>
      <c r="D10" t="s">
        <v>29</v>
      </c>
      <c r="E10" s="2">
        <v>1982</v>
      </c>
      <c r="F10" t="s">
        <v>30</v>
      </c>
      <c r="G10" s="2">
        <v>2008</v>
      </c>
      <c r="H10" t="s">
        <v>45</v>
      </c>
      <c r="I10" t="s">
        <v>32</v>
      </c>
      <c r="J10" t="s">
        <v>33</v>
      </c>
      <c r="K10" t="s">
        <v>42</v>
      </c>
      <c r="L10" t="s">
        <v>46</v>
      </c>
      <c r="M10" t="s">
        <v>37</v>
      </c>
      <c r="N10" t="s">
        <v>36</v>
      </c>
      <c r="O10" t="s">
        <v>37</v>
      </c>
      <c r="P10" t="s">
        <v>37</v>
      </c>
      <c r="Q10" t="s">
        <v>37</v>
      </c>
      <c r="R10" t="s">
        <v>38</v>
      </c>
      <c r="S10" t="s">
        <v>36</v>
      </c>
      <c r="T10" t="s">
        <v>39</v>
      </c>
      <c r="U10" t="s">
        <v>39</v>
      </c>
      <c r="V10" t="s">
        <v>47</v>
      </c>
      <c r="W10" t="s">
        <v>47</v>
      </c>
      <c r="X10" t="s">
        <v>47</v>
      </c>
      <c r="Y10" t="s">
        <v>37</v>
      </c>
      <c r="Z10" t="s">
        <v>37</v>
      </c>
      <c r="AA10" t="s">
        <v>37</v>
      </c>
      <c r="AB10" t="s">
        <v>33</v>
      </c>
      <c r="AC10" t="s">
        <v>40</v>
      </c>
    </row>
    <row r="11" spans="1:29" x14ac:dyDescent="0.2">
      <c r="A11">
        <v>10</v>
      </c>
      <c r="B11" s="1">
        <v>46110.674502314818</v>
      </c>
      <c r="C11" s="1">
        <v>46110.677743055552</v>
      </c>
      <c r="D11" t="s">
        <v>29</v>
      </c>
      <c r="E11" s="2">
        <v>1958</v>
      </c>
      <c r="F11" t="s">
        <v>30</v>
      </c>
      <c r="G11" s="2">
        <v>1981</v>
      </c>
      <c r="H11" t="s">
        <v>45</v>
      </c>
      <c r="I11" t="s">
        <v>32</v>
      </c>
      <c r="J11" t="s">
        <v>33</v>
      </c>
      <c r="K11" t="s">
        <v>42</v>
      </c>
      <c r="L11" t="s">
        <v>56</v>
      </c>
      <c r="M11" t="s">
        <v>38</v>
      </c>
      <c r="N11" t="s">
        <v>38</v>
      </c>
      <c r="O11" t="s">
        <v>38</v>
      </c>
      <c r="P11" t="s">
        <v>38</v>
      </c>
      <c r="Q11" t="s">
        <v>47</v>
      </c>
      <c r="R11" t="s">
        <v>38</v>
      </c>
      <c r="S11" t="s">
        <v>38</v>
      </c>
      <c r="T11" t="s">
        <v>38</v>
      </c>
      <c r="U11" t="s">
        <v>37</v>
      </c>
      <c r="V11" t="s">
        <v>36</v>
      </c>
      <c r="W11" t="s">
        <v>38</v>
      </c>
      <c r="X11" t="s">
        <v>38</v>
      </c>
      <c r="Y11" t="s">
        <v>38</v>
      </c>
      <c r="Z11" t="s">
        <v>38</v>
      </c>
      <c r="AA11" t="s">
        <v>38</v>
      </c>
      <c r="AB11" t="s">
        <v>33</v>
      </c>
      <c r="AC11" t="s">
        <v>57</v>
      </c>
    </row>
    <row r="12" spans="1:29" x14ac:dyDescent="0.2">
      <c r="A12">
        <v>11</v>
      </c>
      <c r="B12" s="1">
        <v>46111.748796296299</v>
      </c>
      <c r="C12" s="1">
        <v>46111.753750000003</v>
      </c>
      <c r="D12" t="s">
        <v>29</v>
      </c>
      <c r="E12" s="2">
        <v>1988</v>
      </c>
      <c r="F12" t="s">
        <v>30</v>
      </c>
      <c r="G12" s="2">
        <v>2012</v>
      </c>
      <c r="H12" t="s">
        <v>58</v>
      </c>
      <c r="I12" t="s">
        <v>33</v>
      </c>
      <c r="J12" t="s">
        <v>33</v>
      </c>
      <c r="K12" t="s">
        <v>42</v>
      </c>
      <c r="L12" t="s">
        <v>46</v>
      </c>
      <c r="M12" t="s">
        <v>38</v>
      </c>
      <c r="N12" t="s">
        <v>47</v>
      </c>
      <c r="O12" t="s">
        <v>36</v>
      </c>
      <c r="P12" t="s">
        <v>38</v>
      </c>
      <c r="Q12" t="s">
        <v>39</v>
      </c>
      <c r="R12" t="s">
        <v>38</v>
      </c>
      <c r="S12" t="s">
        <v>47</v>
      </c>
      <c r="T12" t="s">
        <v>37</v>
      </c>
      <c r="U12" t="s">
        <v>37</v>
      </c>
      <c r="V12" t="s">
        <v>38</v>
      </c>
      <c r="W12" t="s">
        <v>38</v>
      </c>
      <c r="X12" t="s">
        <v>38</v>
      </c>
      <c r="Y12" t="s">
        <v>37</v>
      </c>
      <c r="Z12" t="s">
        <v>38</v>
      </c>
      <c r="AA12" t="s">
        <v>38</v>
      </c>
      <c r="AB12" t="s">
        <v>33</v>
      </c>
      <c r="AC12" t="s">
        <v>59</v>
      </c>
    </row>
    <row r="13" spans="1:29" x14ac:dyDescent="0.2">
      <c r="A13">
        <v>12</v>
      </c>
      <c r="B13" s="1">
        <v>46112.553564814814</v>
      </c>
      <c r="C13" s="1">
        <v>46112.555995370371</v>
      </c>
      <c r="D13" t="s">
        <v>29</v>
      </c>
      <c r="E13" s="2">
        <v>1991</v>
      </c>
      <c r="F13" t="s">
        <v>30</v>
      </c>
      <c r="G13" s="2">
        <v>2015</v>
      </c>
      <c r="H13" t="s">
        <v>45</v>
      </c>
      <c r="I13" t="s">
        <v>32</v>
      </c>
      <c r="J13" t="s">
        <v>33</v>
      </c>
      <c r="K13" t="s">
        <v>34</v>
      </c>
      <c r="L13" t="s">
        <v>46</v>
      </c>
      <c r="M13" t="s">
        <v>38</v>
      </c>
      <c r="N13" t="s">
        <v>36</v>
      </c>
      <c r="O13" t="s">
        <v>37</v>
      </c>
      <c r="P13" t="s">
        <v>36</v>
      </c>
      <c r="Q13" t="s">
        <v>39</v>
      </c>
      <c r="R13" t="s">
        <v>38</v>
      </c>
      <c r="S13" t="s">
        <v>38</v>
      </c>
      <c r="T13" t="s">
        <v>38</v>
      </c>
      <c r="U13" t="s">
        <v>37</v>
      </c>
      <c r="V13" t="s">
        <v>37</v>
      </c>
      <c r="W13" t="s">
        <v>37</v>
      </c>
      <c r="X13" t="s">
        <v>37</v>
      </c>
      <c r="Y13" t="s">
        <v>38</v>
      </c>
      <c r="Z13" t="s">
        <v>37</v>
      </c>
      <c r="AA13" t="s">
        <v>38</v>
      </c>
      <c r="AB13" t="s">
        <v>33</v>
      </c>
      <c r="AC13" t="s">
        <v>60</v>
      </c>
    </row>
    <row r="14" spans="1:29" x14ac:dyDescent="0.2">
      <c r="A14">
        <v>13</v>
      </c>
      <c r="B14" s="1">
        <v>46112.588553240741</v>
      </c>
      <c r="C14" s="1">
        <v>46112.590254629627</v>
      </c>
      <c r="D14" t="s">
        <v>29</v>
      </c>
      <c r="E14" s="2">
        <v>1991</v>
      </c>
      <c r="F14" t="s">
        <v>30</v>
      </c>
      <c r="G14" s="2">
        <v>2014</v>
      </c>
      <c r="H14" t="s">
        <v>61</v>
      </c>
      <c r="I14" t="s">
        <v>33</v>
      </c>
      <c r="J14" t="s">
        <v>33</v>
      </c>
      <c r="K14" t="s">
        <v>49</v>
      </c>
      <c r="L14" t="s">
        <v>43</v>
      </c>
      <c r="M14" t="s">
        <v>36</v>
      </c>
      <c r="N14" t="s">
        <v>38</v>
      </c>
      <c r="O14" t="s">
        <v>36</v>
      </c>
      <c r="P14" t="s">
        <v>37</v>
      </c>
      <c r="Q14" t="s">
        <v>39</v>
      </c>
      <c r="R14" t="s">
        <v>36</v>
      </c>
      <c r="S14" t="s">
        <v>47</v>
      </c>
      <c r="T14" t="s">
        <v>38</v>
      </c>
      <c r="U14" t="s">
        <v>39</v>
      </c>
      <c r="V14" t="s">
        <v>38</v>
      </c>
      <c r="W14" t="s">
        <v>38</v>
      </c>
      <c r="X14" t="s">
        <v>38</v>
      </c>
      <c r="Y14" t="s">
        <v>36</v>
      </c>
      <c r="Z14" t="s">
        <v>37</v>
      </c>
      <c r="AA14" t="s">
        <v>38</v>
      </c>
      <c r="AB14" t="s">
        <v>33</v>
      </c>
      <c r="AC14" t="s">
        <v>57</v>
      </c>
    </row>
    <row r="15" spans="1:29" x14ac:dyDescent="0.2">
      <c r="A15">
        <v>14</v>
      </c>
      <c r="B15" s="1">
        <v>46112.654722222222</v>
      </c>
      <c r="C15" s="1">
        <v>46112.664965277778</v>
      </c>
      <c r="D15" t="s">
        <v>29</v>
      </c>
      <c r="E15" s="2">
        <v>1994</v>
      </c>
      <c r="F15" t="s">
        <v>44</v>
      </c>
      <c r="G15" s="2">
        <v>2018</v>
      </c>
      <c r="H15" t="s">
        <v>50</v>
      </c>
      <c r="I15" t="s">
        <v>32</v>
      </c>
      <c r="J15" t="s">
        <v>32</v>
      </c>
      <c r="K15" t="s">
        <v>34</v>
      </c>
      <c r="L15" t="s">
        <v>51</v>
      </c>
      <c r="M15" t="s">
        <v>39</v>
      </c>
      <c r="N15" t="s">
        <v>36</v>
      </c>
      <c r="O15" t="s">
        <v>37</v>
      </c>
      <c r="P15" t="s">
        <v>36</v>
      </c>
      <c r="Q15" t="s">
        <v>37</v>
      </c>
      <c r="R15" t="s">
        <v>37</v>
      </c>
      <c r="S15" t="s">
        <v>36</v>
      </c>
      <c r="T15" t="s">
        <v>38</v>
      </c>
      <c r="U15" t="s">
        <v>37</v>
      </c>
      <c r="V15" t="s">
        <v>37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33</v>
      </c>
      <c r="AC15" t="s">
        <v>48</v>
      </c>
    </row>
    <row r="16" spans="1:29" x14ac:dyDescent="0.2">
      <c r="A16">
        <v>15</v>
      </c>
      <c r="B16" s="1">
        <v>46113.455949074072</v>
      </c>
      <c r="C16" s="1">
        <v>46113.457685185182</v>
      </c>
      <c r="D16" t="s">
        <v>29</v>
      </c>
      <c r="E16" s="2">
        <v>1992</v>
      </c>
      <c r="F16" t="s">
        <v>30</v>
      </c>
      <c r="G16" s="2">
        <v>2015</v>
      </c>
      <c r="H16" t="s">
        <v>45</v>
      </c>
      <c r="I16" t="s">
        <v>32</v>
      </c>
      <c r="J16" t="s">
        <v>33</v>
      </c>
      <c r="K16" t="s">
        <v>34</v>
      </c>
      <c r="L16" t="s">
        <v>51</v>
      </c>
      <c r="M16" t="s">
        <v>38</v>
      </c>
      <c r="N16" t="s">
        <v>47</v>
      </c>
      <c r="O16" t="s">
        <v>38</v>
      </c>
      <c r="P16" t="s">
        <v>38</v>
      </c>
      <c r="Q16" t="s">
        <v>39</v>
      </c>
      <c r="R16" t="s">
        <v>38</v>
      </c>
      <c r="S16" t="s">
        <v>38</v>
      </c>
      <c r="T16" t="s">
        <v>37</v>
      </c>
      <c r="U16" t="s">
        <v>39</v>
      </c>
      <c r="V16" t="s">
        <v>38</v>
      </c>
      <c r="W16" t="s">
        <v>38</v>
      </c>
      <c r="X16" t="s">
        <v>38</v>
      </c>
      <c r="Y16" t="s">
        <v>47</v>
      </c>
      <c r="Z16" t="s">
        <v>38</v>
      </c>
      <c r="AA16" t="s">
        <v>47</v>
      </c>
      <c r="AB16" t="s">
        <v>33</v>
      </c>
      <c r="AC16" t="s">
        <v>55</v>
      </c>
    </row>
    <row r="17" spans="1:29" x14ac:dyDescent="0.2">
      <c r="A17">
        <v>16</v>
      </c>
      <c r="B17" s="1">
        <v>46113.518611111111</v>
      </c>
      <c r="C17" s="1">
        <v>46113.52584490741</v>
      </c>
      <c r="D17" t="s">
        <v>29</v>
      </c>
      <c r="E17" s="2">
        <v>1996</v>
      </c>
      <c r="F17" t="s">
        <v>30</v>
      </c>
      <c r="G17" s="2">
        <v>2020</v>
      </c>
      <c r="H17" t="s">
        <v>50</v>
      </c>
      <c r="I17" t="s">
        <v>32</v>
      </c>
      <c r="J17" t="s">
        <v>32</v>
      </c>
      <c r="K17" t="s">
        <v>34</v>
      </c>
      <c r="L17" t="s">
        <v>62</v>
      </c>
      <c r="M17" t="s">
        <v>38</v>
      </c>
      <c r="N17" t="s">
        <v>36</v>
      </c>
      <c r="O17" t="s">
        <v>37</v>
      </c>
      <c r="P17" t="s">
        <v>37</v>
      </c>
      <c r="Q17" t="s">
        <v>37</v>
      </c>
      <c r="R17" t="s">
        <v>36</v>
      </c>
      <c r="S17" t="s">
        <v>37</v>
      </c>
      <c r="T17" t="s">
        <v>39</v>
      </c>
      <c r="U17" t="s">
        <v>37</v>
      </c>
      <c r="V17" t="s">
        <v>37</v>
      </c>
      <c r="W17" t="s">
        <v>36</v>
      </c>
      <c r="X17" t="s">
        <v>37</v>
      </c>
      <c r="Y17" t="s">
        <v>36</v>
      </c>
      <c r="Z17" t="s">
        <v>37</v>
      </c>
      <c r="AA17" t="s">
        <v>38</v>
      </c>
      <c r="AB17" t="s">
        <v>33</v>
      </c>
      <c r="AC17" t="s">
        <v>40</v>
      </c>
    </row>
    <row r="18" spans="1:29" x14ac:dyDescent="0.2">
      <c r="A18">
        <v>17</v>
      </c>
      <c r="B18" s="1">
        <v>46113.603483796294</v>
      </c>
      <c r="C18" s="1">
        <v>46113.607129629629</v>
      </c>
      <c r="D18" t="s">
        <v>29</v>
      </c>
      <c r="E18" s="2">
        <v>1994</v>
      </c>
      <c r="F18" t="s">
        <v>44</v>
      </c>
      <c r="G18" s="2">
        <v>1994</v>
      </c>
      <c r="H18" t="s">
        <v>45</v>
      </c>
      <c r="I18" t="s">
        <v>33</v>
      </c>
      <c r="J18" t="s">
        <v>33</v>
      </c>
      <c r="K18" t="s">
        <v>34</v>
      </c>
      <c r="L18" t="s">
        <v>43</v>
      </c>
      <c r="M18" t="s">
        <v>37</v>
      </c>
      <c r="N18" t="s">
        <v>37</v>
      </c>
      <c r="O18" t="s">
        <v>38</v>
      </c>
      <c r="P18" t="s">
        <v>37</v>
      </c>
      <c r="Q18" t="s">
        <v>37</v>
      </c>
      <c r="R18" t="s">
        <v>37</v>
      </c>
      <c r="S18" t="s">
        <v>36</v>
      </c>
      <c r="T18" t="s">
        <v>37</v>
      </c>
      <c r="U18" t="s">
        <v>37</v>
      </c>
      <c r="V18" t="s">
        <v>36</v>
      </c>
      <c r="W18" t="s">
        <v>36</v>
      </c>
      <c r="X18" t="s">
        <v>37</v>
      </c>
      <c r="Y18" t="s">
        <v>37</v>
      </c>
      <c r="Z18" t="s">
        <v>37</v>
      </c>
      <c r="AA18" t="s">
        <v>37</v>
      </c>
      <c r="AB18" t="s">
        <v>32</v>
      </c>
      <c r="AC18" t="s">
        <v>40</v>
      </c>
    </row>
    <row r="19" spans="1:29" x14ac:dyDescent="0.2">
      <c r="A19">
        <v>18</v>
      </c>
      <c r="B19" s="1">
        <v>46113.835844907408</v>
      </c>
      <c r="C19" s="1">
        <v>46113.838263888887</v>
      </c>
      <c r="D19" t="s">
        <v>29</v>
      </c>
      <c r="E19" s="2">
        <v>1991</v>
      </c>
      <c r="F19" t="s">
        <v>44</v>
      </c>
      <c r="G19" s="2">
        <v>2015</v>
      </c>
      <c r="H19" t="s">
        <v>41</v>
      </c>
      <c r="I19" t="s">
        <v>32</v>
      </c>
      <c r="J19" t="s">
        <v>32</v>
      </c>
      <c r="K19" t="s">
        <v>34</v>
      </c>
      <c r="L19" t="s">
        <v>43</v>
      </c>
      <c r="M19" t="s">
        <v>38</v>
      </c>
      <c r="N19" t="s">
        <v>36</v>
      </c>
      <c r="O19" t="s">
        <v>36</v>
      </c>
      <c r="P19" t="s">
        <v>36</v>
      </c>
      <c r="Q19" t="s">
        <v>39</v>
      </c>
      <c r="R19" t="s">
        <v>37</v>
      </c>
      <c r="S19" t="s">
        <v>38</v>
      </c>
      <c r="T19" t="s">
        <v>38</v>
      </c>
      <c r="U19" t="s">
        <v>37</v>
      </c>
      <c r="V19" t="s">
        <v>36</v>
      </c>
      <c r="W19" t="s">
        <v>36</v>
      </c>
      <c r="X19" t="s">
        <v>36</v>
      </c>
      <c r="Y19" t="s">
        <v>38</v>
      </c>
      <c r="Z19" t="s">
        <v>38</v>
      </c>
      <c r="AA19" t="s">
        <v>38</v>
      </c>
      <c r="AB19" t="s">
        <v>32</v>
      </c>
      <c r="AC19" t="s">
        <v>40</v>
      </c>
    </row>
    <row r="20" spans="1:29" x14ac:dyDescent="0.2">
      <c r="A20">
        <v>19</v>
      </c>
      <c r="B20" s="1">
        <v>46113.848020833335</v>
      </c>
      <c r="C20" s="1">
        <v>46113.850462962961</v>
      </c>
      <c r="D20" t="s">
        <v>29</v>
      </c>
      <c r="E20" s="2">
        <v>1992</v>
      </c>
      <c r="F20" t="s">
        <v>44</v>
      </c>
      <c r="G20" s="2">
        <v>2015</v>
      </c>
      <c r="H20" t="s">
        <v>63</v>
      </c>
      <c r="I20" t="s">
        <v>33</v>
      </c>
      <c r="J20" t="s">
        <v>33</v>
      </c>
      <c r="K20" t="s">
        <v>34</v>
      </c>
      <c r="L20" t="s">
        <v>64</v>
      </c>
      <c r="M20" t="s">
        <v>47</v>
      </c>
      <c r="N20" t="s">
        <v>47</v>
      </c>
      <c r="O20" t="s">
        <v>47</v>
      </c>
      <c r="P20" t="s">
        <v>47</v>
      </c>
      <c r="Q20" t="s">
        <v>39</v>
      </c>
      <c r="R20" t="s">
        <v>47</v>
      </c>
      <c r="S20" t="s">
        <v>47</v>
      </c>
      <c r="T20" t="s">
        <v>47</v>
      </c>
      <c r="U20" t="s">
        <v>47</v>
      </c>
      <c r="V20" t="s">
        <v>47</v>
      </c>
      <c r="W20" t="s">
        <v>47</v>
      </c>
      <c r="X20" t="s">
        <v>47</v>
      </c>
      <c r="Y20" t="s">
        <v>39</v>
      </c>
      <c r="Z20" t="s">
        <v>36</v>
      </c>
      <c r="AA20" t="s">
        <v>47</v>
      </c>
      <c r="AB20" t="s">
        <v>33</v>
      </c>
      <c r="AC20" t="s">
        <v>65</v>
      </c>
    </row>
    <row r="21" spans="1:29" x14ac:dyDescent="0.2">
      <c r="A21">
        <v>20</v>
      </c>
      <c r="B21" s="1">
        <v>46113.834837962961</v>
      </c>
      <c r="C21" s="1">
        <v>46113.86109953704</v>
      </c>
      <c r="D21" t="s">
        <v>29</v>
      </c>
      <c r="E21" s="2">
        <v>1991</v>
      </c>
      <c r="F21" t="s">
        <v>30</v>
      </c>
      <c r="G21" s="2">
        <v>2015</v>
      </c>
      <c r="H21" t="s">
        <v>45</v>
      </c>
      <c r="I21" t="s">
        <v>32</v>
      </c>
      <c r="J21" t="s">
        <v>33</v>
      </c>
      <c r="K21" t="s">
        <v>34</v>
      </c>
      <c r="L21" t="s">
        <v>43</v>
      </c>
      <c r="M21" t="s">
        <v>38</v>
      </c>
      <c r="N21" t="s">
        <v>38</v>
      </c>
      <c r="O21" t="s">
        <v>36</v>
      </c>
      <c r="P21" t="s">
        <v>39</v>
      </c>
      <c r="Q21" t="s">
        <v>39</v>
      </c>
      <c r="R21" t="s">
        <v>38</v>
      </c>
      <c r="S21" t="s">
        <v>38</v>
      </c>
      <c r="T21" t="s">
        <v>38</v>
      </c>
      <c r="U21" t="s">
        <v>39</v>
      </c>
      <c r="V21" t="s">
        <v>36</v>
      </c>
      <c r="W21" t="s">
        <v>38</v>
      </c>
      <c r="X21" t="s">
        <v>37</v>
      </c>
      <c r="Y21" t="s">
        <v>37</v>
      </c>
      <c r="Z21" t="s">
        <v>37</v>
      </c>
      <c r="AA21" t="s">
        <v>47</v>
      </c>
      <c r="AB21" t="s">
        <v>33</v>
      </c>
      <c r="AC21" t="s">
        <v>40</v>
      </c>
    </row>
    <row r="22" spans="1:29" x14ac:dyDescent="0.2">
      <c r="A22">
        <v>21</v>
      </c>
      <c r="B22" s="1">
        <v>46113.900567129633</v>
      </c>
      <c r="C22" s="1">
        <v>46113.903009259258</v>
      </c>
      <c r="D22" t="s">
        <v>29</v>
      </c>
      <c r="E22" s="2">
        <v>1989</v>
      </c>
      <c r="F22" t="s">
        <v>30</v>
      </c>
      <c r="G22" s="2">
        <v>2013</v>
      </c>
      <c r="H22" t="s">
        <v>45</v>
      </c>
      <c r="I22" t="s">
        <v>33</v>
      </c>
      <c r="J22" t="s">
        <v>33</v>
      </c>
      <c r="K22" t="s">
        <v>66</v>
      </c>
      <c r="L22" t="s">
        <v>43</v>
      </c>
      <c r="M22" t="s">
        <v>47</v>
      </c>
      <c r="N22" t="s">
        <v>38</v>
      </c>
      <c r="O22" t="s">
        <v>47</v>
      </c>
      <c r="P22" t="s">
        <v>38</v>
      </c>
      <c r="Q22" t="s">
        <v>37</v>
      </c>
      <c r="R22" t="s">
        <v>38</v>
      </c>
      <c r="S22" t="s">
        <v>38</v>
      </c>
      <c r="T22" t="s">
        <v>38</v>
      </c>
      <c r="U22" t="s">
        <v>37</v>
      </c>
      <c r="V22" t="s">
        <v>47</v>
      </c>
      <c r="W22" t="s">
        <v>47</v>
      </c>
      <c r="X22" t="s">
        <v>38</v>
      </c>
      <c r="Y22" t="s">
        <v>38</v>
      </c>
      <c r="Z22" t="s">
        <v>38</v>
      </c>
      <c r="AA22" t="s">
        <v>38</v>
      </c>
      <c r="AB22" t="s">
        <v>33</v>
      </c>
      <c r="AC22" t="s">
        <v>40</v>
      </c>
    </row>
    <row r="23" spans="1:29" x14ac:dyDescent="0.2">
      <c r="A23">
        <v>22</v>
      </c>
      <c r="B23" s="1">
        <v>46113.910937499997</v>
      </c>
      <c r="C23" s="1">
        <v>46113.913472222222</v>
      </c>
      <c r="D23" t="s">
        <v>29</v>
      </c>
      <c r="E23" s="2">
        <v>1974</v>
      </c>
      <c r="F23" t="s">
        <v>30</v>
      </c>
      <c r="G23" s="2">
        <v>1997</v>
      </c>
      <c r="H23" t="s">
        <v>45</v>
      </c>
      <c r="I23" t="s">
        <v>33</v>
      </c>
      <c r="J23" t="s">
        <v>33</v>
      </c>
      <c r="K23" t="s">
        <v>42</v>
      </c>
      <c r="L23" t="s">
        <v>46</v>
      </c>
      <c r="M23" t="s">
        <v>47</v>
      </c>
      <c r="N23" t="s">
        <v>38</v>
      </c>
      <c r="O23" t="s">
        <v>36</v>
      </c>
      <c r="P23" t="s">
        <v>39</v>
      </c>
      <c r="Q23" t="s">
        <v>39</v>
      </c>
      <c r="R23" t="s">
        <v>47</v>
      </c>
      <c r="S23" t="s">
        <v>47</v>
      </c>
      <c r="T23" t="s">
        <v>47</v>
      </c>
      <c r="U23" t="s">
        <v>37</v>
      </c>
      <c r="V23" t="s">
        <v>36</v>
      </c>
      <c r="W23" t="s">
        <v>36</v>
      </c>
      <c r="X23" t="s">
        <v>36</v>
      </c>
      <c r="Y23" t="s">
        <v>47</v>
      </c>
      <c r="Z23" t="s">
        <v>47</v>
      </c>
      <c r="AA23" t="s">
        <v>47</v>
      </c>
      <c r="AB23" t="s">
        <v>32</v>
      </c>
      <c r="AC23" t="s">
        <v>40</v>
      </c>
    </row>
    <row r="24" spans="1:29" x14ac:dyDescent="0.2">
      <c r="A24">
        <v>23</v>
      </c>
      <c r="B24" s="1">
        <v>46113.95275462963</v>
      </c>
      <c r="C24" s="1">
        <v>46113.954340277778</v>
      </c>
      <c r="D24" t="s">
        <v>29</v>
      </c>
      <c r="E24" s="2">
        <v>1988</v>
      </c>
      <c r="F24" t="s">
        <v>30</v>
      </c>
      <c r="G24" s="2">
        <v>2012</v>
      </c>
      <c r="H24" t="s">
        <v>67</v>
      </c>
      <c r="I24" t="s">
        <v>33</v>
      </c>
      <c r="J24" t="s">
        <v>32</v>
      </c>
      <c r="K24" t="s">
        <v>34</v>
      </c>
      <c r="L24" t="s">
        <v>43</v>
      </c>
      <c r="M24" t="s">
        <v>38</v>
      </c>
      <c r="N24" t="s">
        <v>38</v>
      </c>
      <c r="O24" t="s">
        <v>38</v>
      </c>
      <c r="P24" t="s">
        <v>37</v>
      </c>
      <c r="Q24" t="s">
        <v>39</v>
      </c>
      <c r="R24" t="s">
        <v>47</v>
      </c>
      <c r="S24" t="s">
        <v>47</v>
      </c>
      <c r="T24" t="s">
        <v>38</v>
      </c>
      <c r="U24" t="s">
        <v>39</v>
      </c>
      <c r="V24" t="s">
        <v>47</v>
      </c>
      <c r="W24" t="s">
        <v>47</v>
      </c>
      <c r="X24" t="s">
        <v>47</v>
      </c>
      <c r="Y24" t="s">
        <v>37</v>
      </c>
      <c r="Z24" t="s">
        <v>36</v>
      </c>
      <c r="AA24" t="s">
        <v>47</v>
      </c>
      <c r="AB24" t="s">
        <v>32</v>
      </c>
      <c r="AC24" t="s">
        <v>48</v>
      </c>
    </row>
    <row r="25" spans="1:29" x14ac:dyDescent="0.2">
      <c r="A25">
        <v>24</v>
      </c>
      <c r="B25" s="1">
        <v>46114.112893518519</v>
      </c>
      <c r="C25" s="1">
        <v>46114.114907407406</v>
      </c>
      <c r="D25" t="s">
        <v>29</v>
      </c>
      <c r="E25" s="2">
        <v>1991</v>
      </c>
      <c r="F25" t="s">
        <v>30</v>
      </c>
      <c r="G25" s="2">
        <v>2014</v>
      </c>
      <c r="H25" t="s">
        <v>45</v>
      </c>
      <c r="I25" t="s">
        <v>33</v>
      </c>
      <c r="J25" t="s">
        <v>33</v>
      </c>
      <c r="K25" t="s">
        <v>66</v>
      </c>
      <c r="L25" t="s">
        <v>64</v>
      </c>
      <c r="M25" t="s">
        <v>38</v>
      </c>
      <c r="N25" t="s">
        <v>38</v>
      </c>
      <c r="O25" t="s">
        <v>38</v>
      </c>
      <c r="P25" t="s">
        <v>37</v>
      </c>
      <c r="Q25" t="s">
        <v>39</v>
      </c>
      <c r="R25" t="s">
        <v>38</v>
      </c>
      <c r="S25" t="s">
        <v>38</v>
      </c>
      <c r="T25" t="s">
        <v>38</v>
      </c>
      <c r="U25" t="s">
        <v>39</v>
      </c>
      <c r="V25" t="s">
        <v>38</v>
      </c>
      <c r="W25" t="s">
        <v>38</v>
      </c>
      <c r="X25" t="s">
        <v>36</v>
      </c>
      <c r="Y25" t="s">
        <v>38</v>
      </c>
      <c r="Z25" t="s">
        <v>39</v>
      </c>
      <c r="AA25" t="s">
        <v>38</v>
      </c>
      <c r="AB25" t="s">
        <v>33</v>
      </c>
      <c r="AC25" t="s">
        <v>55</v>
      </c>
    </row>
    <row r="26" spans="1:29" x14ac:dyDescent="0.2">
      <c r="A26">
        <v>25</v>
      </c>
      <c r="B26" s="1">
        <v>46114.477754629632</v>
      </c>
      <c r="C26" s="1">
        <v>46114.482777777775</v>
      </c>
      <c r="D26" t="s">
        <v>29</v>
      </c>
      <c r="E26" s="2">
        <v>1993</v>
      </c>
      <c r="F26" t="s">
        <v>30</v>
      </c>
      <c r="G26" s="2">
        <v>2015</v>
      </c>
      <c r="H26" t="s">
        <v>63</v>
      </c>
      <c r="I26" t="s">
        <v>32</v>
      </c>
      <c r="J26" t="s">
        <v>33</v>
      </c>
      <c r="K26" t="s">
        <v>34</v>
      </c>
      <c r="L26" t="s">
        <v>64</v>
      </c>
      <c r="M26" t="s">
        <v>47</v>
      </c>
      <c r="N26" t="s">
        <v>36</v>
      </c>
      <c r="O26" t="s">
        <v>37</v>
      </c>
      <c r="P26" t="s">
        <v>37</v>
      </c>
      <c r="Q26" t="s">
        <v>39</v>
      </c>
      <c r="R26" t="s">
        <v>37</v>
      </c>
      <c r="S26" t="s">
        <v>36</v>
      </c>
      <c r="T26" t="s">
        <v>37</v>
      </c>
      <c r="U26" t="s">
        <v>39</v>
      </c>
      <c r="V26" t="s">
        <v>36</v>
      </c>
      <c r="W26" t="s">
        <v>37</v>
      </c>
      <c r="X26" t="s">
        <v>37</v>
      </c>
      <c r="Y26" t="s">
        <v>38</v>
      </c>
      <c r="Z26" t="s">
        <v>39</v>
      </c>
      <c r="AA26" t="s">
        <v>37</v>
      </c>
      <c r="AB26" t="s">
        <v>33</v>
      </c>
      <c r="AC26" t="s">
        <v>68</v>
      </c>
    </row>
    <row r="27" spans="1:29" x14ac:dyDescent="0.2">
      <c r="A27">
        <v>26</v>
      </c>
      <c r="B27" s="1">
        <v>46114.623819444445</v>
      </c>
      <c r="C27" s="1">
        <v>46114.625011574077</v>
      </c>
      <c r="D27" t="s">
        <v>29</v>
      </c>
      <c r="E27" s="2">
        <v>1996</v>
      </c>
      <c r="F27" t="s">
        <v>30</v>
      </c>
      <c r="G27" s="2">
        <v>2020</v>
      </c>
      <c r="H27" t="s">
        <v>50</v>
      </c>
      <c r="I27" t="s">
        <v>32</v>
      </c>
      <c r="J27" t="s">
        <v>33</v>
      </c>
      <c r="K27" t="s">
        <v>34</v>
      </c>
      <c r="L27" t="s">
        <v>51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38</v>
      </c>
      <c r="U27" t="s">
        <v>37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33</v>
      </c>
      <c r="AC27" t="s">
        <v>40</v>
      </c>
    </row>
    <row r="28" spans="1:29" x14ac:dyDescent="0.2">
      <c r="A28">
        <v>27</v>
      </c>
      <c r="B28" s="1">
        <v>46115.51458333333</v>
      </c>
      <c r="C28" s="1">
        <v>46115.515879629631</v>
      </c>
      <c r="D28" t="s">
        <v>29</v>
      </c>
      <c r="E28" s="2">
        <v>1990</v>
      </c>
      <c r="F28" t="s">
        <v>44</v>
      </c>
      <c r="G28" s="2">
        <v>2015</v>
      </c>
      <c r="H28" t="s">
        <v>45</v>
      </c>
      <c r="I28" t="s">
        <v>32</v>
      </c>
      <c r="J28" t="s">
        <v>32</v>
      </c>
      <c r="K28" t="s">
        <v>34</v>
      </c>
      <c r="L28" t="s">
        <v>43</v>
      </c>
      <c r="M28" t="s">
        <v>47</v>
      </c>
      <c r="N28" t="s">
        <v>39</v>
      </c>
      <c r="O28" t="s">
        <v>39</v>
      </c>
      <c r="P28" t="s">
        <v>47</v>
      </c>
      <c r="Q28" t="s">
        <v>39</v>
      </c>
      <c r="R28" t="s">
        <v>47</v>
      </c>
      <c r="S28" t="s">
        <v>39</v>
      </c>
      <c r="T28" t="s">
        <v>47</v>
      </c>
      <c r="U28" t="s">
        <v>39</v>
      </c>
      <c r="V28" t="s">
        <v>38</v>
      </c>
      <c r="W28" t="s">
        <v>38</v>
      </c>
      <c r="X28" t="s">
        <v>47</v>
      </c>
      <c r="Y28" t="s">
        <v>39</v>
      </c>
      <c r="Z28" t="s">
        <v>38</v>
      </c>
      <c r="AA28" t="s">
        <v>38</v>
      </c>
      <c r="AB28" t="s">
        <v>32</v>
      </c>
      <c r="AC28" t="s">
        <v>40</v>
      </c>
    </row>
    <row r="29" spans="1:29" x14ac:dyDescent="0.2">
      <c r="A29">
        <v>28</v>
      </c>
      <c r="B29" s="1">
        <v>46115.603275462963</v>
      </c>
      <c r="C29" s="1">
        <v>46115.606192129628</v>
      </c>
      <c r="D29" t="s">
        <v>29</v>
      </c>
      <c r="E29" s="2">
        <v>1992</v>
      </c>
      <c r="F29" t="s">
        <v>30</v>
      </c>
      <c r="G29" s="2">
        <v>2015</v>
      </c>
      <c r="H29" t="s">
        <v>45</v>
      </c>
      <c r="I29" t="s">
        <v>32</v>
      </c>
      <c r="J29" t="s">
        <v>33</v>
      </c>
      <c r="K29" t="s">
        <v>34</v>
      </c>
      <c r="L29" t="s">
        <v>64</v>
      </c>
      <c r="M29" t="s">
        <v>38</v>
      </c>
      <c r="N29" t="s">
        <v>47</v>
      </c>
      <c r="O29" t="s">
        <v>38</v>
      </c>
      <c r="P29" t="s">
        <v>38</v>
      </c>
      <c r="Q29" t="s">
        <v>37</v>
      </c>
      <c r="R29" t="s">
        <v>38</v>
      </c>
      <c r="S29" t="s">
        <v>47</v>
      </c>
      <c r="T29" t="s">
        <v>47</v>
      </c>
      <c r="U29" t="s">
        <v>37</v>
      </c>
      <c r="V29" t="s">
        <v>38</v>
      </c>
      <c r="W29" t="s">
        <v>38</v>
      </c>
      <c r="X29" t="s">
        <v>36</v>
      </c>
      <c r="Y29" t="s">
        <v>37</v>
      </c>
      <c r="Z29" t="s">
        <v>47</v>
      </c>
      <c r="AA29" t="s">
        <v>47</v>
      </c>
      <c r="AB29" t="s">
        <v>33</v>
      </c>
      <c r="AC29" t="s">
        <v>40</v>
      </c>
    </row>
    <row r="30" spans="1:29" x14ac:dyDescent="0.2">
      <c r="A30">
        <v>29</v>
      </c>
      <c r="B30" s="1">
        <v>46115.733622685184</v>
      </c>
      <c r="C30" s="1">
        <v>46115.737708333334</v>
      </c>
      <c r="D30" t="s">
        <v>29</v>
      </c>
      <c r="E30" s="2">
        <v>1982</v>
      </c>
      <c r="F30" t="s">
        <v>44</v>
      </c>
      <c r="G30" s="2">
        <v>2006</v>
      </c>
      <c r="H30" t="s">
        <v>69</v>
      </c>
      <c r="I30" t="s">
        <v>32</v>
      </c>
      <c r="J30" t="s">
        <v>33</v>
      </c>
      <c r="K30" t="s">
        <v>66</v>
      </c>
      <c r="L30" t="s">
        <v>70</v>
      </c>
      <c r="M30" t="s">
        <v>38</v>
      </c>
      <c r="N30" t="s">
        <v>38</v>
      </c>
      <c r="O30" t="s">
        <v>38</v>
      </c>
      <c r="P30" t="s">
        <v>38</v>
      </c>
      <c r="Q30" t="s">
        <v>37</v>
      </c>
      <c r="R30" t="s">
        <v>38</v>
      </c>
      <c r="S30" t="s">
        <v>38</v>
      </c>
      <c r="T30" t="s">
        <v>38</v>
      </c>
      <c r="U30" t="s">
        <v>37</v>
      </c>
      <c r="V30" t="s">
        <v>38</v>
      </c>
      <c r="W30" t="s">
        <v>38</v>
      </c>
      <c r="X30" t="s">
        <v>38</v>
      </c>
      <c r="Y30" t="s">
        <v>36</v>
      </c>
      <c r="Z30" t="s">
        <v>38</v>
      </c>
      <c r="AA30" t="s">
        <v>38</v>
      </c>
      <c r="AB30" t="s">
        <v>33</v>
      </c>
      <c r="AC30" t="s">
        <v>40</v>
      </c>
    </row>
    <row r="31" spans="1:29" x14ac:dyDescent="0.2">
      <c r="A31">
        <v>30</v>
      </c>
      <c r="B31" s="1">
        <v>46115.750254629631</v>
      </c>
      <c r="C31" s="1">
        <v>46115.75403935185</v>
      </c>
      <c r="D31" t="s">
        <v>29</v>
      </c>
      <c r="E31" s="2">
        <v>1995</v>
      </c>
      <c r="F31" t="s">
        <v>30</v>
      </c>
      <c r="G31" s="2">
        <v>2019</v>
      </c>
      <c r="H31" t="s">
        <v>50</v>
      </c>
      <c r="I31" t="s">
        <v>32</v>
      </c>
      <c r="J31" t="s">
        <v>33</v>
      </c>
      <c r="K31" t="s">
        <v>34</v>
      </c>
      <c r="L31" t="s">
        <v>35</v>
      </c>
      <c r="M31" t="s">
        <v>38</v>
      </c>
      <c r="N31" t="s">
        <v>38</v>
      </c>
      <c r="O31" t="s">
        <v>37</v>
      </c>
      <c r="P31" t="s">
        <v>39</v>
      </c>
      <c r="Q31" t="s">
        <v>37</v>
      </c>
      <c r="R31" t="s">
        <v>37</v>
      </c>
      <c r="S31" t="s">
        <v>36</v>
      </c>
      <c r="T31" t="s">
        <v>36</v>
      </c>
      <c r="U31" t="s">
        <v>37</v>
      </c>
      <c r="V31" t="s">
        <v>38</v>
      </c>
      <c r="W31" t="s">
        <v>38</v>
      </c>
      <c r="X31" t="s">
        <v>37</v>
      </c>
      <c r="Y31" t="s">
        <v>39</v>
      </c>
      <c r="Z31" t="s">
        <v>37</v>
      </c>
      <c r="AA31" t="s">
        <v>38</v>
      </c>
      <c r="AB31" t="s">
        <v>33</v>
      </c>
      <c r="AC31" t="s">
        <v>59</v>
      </c>
    </row>
    <row r="32" spans="1:29" x14ac:dyDescent="0.2">
      <c r="A32">
        <v>31</v>
      </c>
      <c r="B32" s="1">
        <v>46115.789513888885</v>
      </c>
      <c r="C32" s="1">
        <v>46115.790462962963</v>
      </c>
      <c r="D32" t="s">
        <v>29</v>
      </c>
      <c r="E32" s="2">
        <v>1991</v>
      </c>
      <c r="F32" t="s">
        <v>44</v>
      </c>
      <c r="G32" s="2">
        <v>1991</v>
      </c>
      <c r="H32" t="s">
        <v>50</v>
      </c>
      <c r="I32" t="s">
        <v>32</v>
      </c>
      <c r="J32" t="s">
        <v>33</v>
      </c>
      <c r="K32" t="s">
        <v>66</v>
      </c>
      <c r="L32" t="s">
        <v>70</v>
      </c>
      <c r="M32" t="s">
        <v>36</v>
      </c>
      <c r="N32" t="s">
        <v>38</v>
      </c>
      <c r="O32" t="s">
        <v>37</v>
      </c>
      <c r="P32" t="s">
        <v>38</v>
      </c>
      <c r="Q32" t="s">
        <v>37</v>
      </c>
      <c r="R32" t="s">
        <v>37</v>
      </c>
      <c r="S32" t="s">
        <v>36</v>
      </c>
      <c r="T32" t="s">
        <v>36</v>
      </c>
      <c r="U32" t="s">
        <v>47</v>
      </c>
      <c r="V32" t="s">
        <v>38</v>
      </c>
      <c r="W32" t="s">
        <v>36</v>
      </c>
      <c r="X32" t="s">
        <v>36</v>
      </c>
      <c r="Y32" t="s">
        <v>38</v>
      </c>
      <c r="Z32" t="s">
        <v>38</v>
      </c>
      <c r="AA32" t="s">
        <v>38</v>
      </c>
      <c r="AB32" t="s">
        <v>33</v>
      </c>
      <c r="AC32" t="s">
        <v>71</v>
      </c>
    </row>
    <row r="33" spans="1:29" x14ac:dyDescent="0.2">
      <c r="A33">
        <v>32</v>
      </c>
      <c r="B33" s="1">
        <v>46115.803657407407</v>
      </c>
      <c r="C33" s="1">
        <v>46115.805902777778</v>
      </c>
      <c r="D33" t="s">
        <v>29</v>
      </c>
      <c r="E33" s="2">
        <v>1996</v>
      </c>
      <c r="F33" t="s">
        <v>30</v>
      </c>
      <c r="G33" s="2">
        <v>1996</v>
      </c>
      <c r="H33" t="s">
        <v>50</v>
      </c>
      <c r="I33" t="s">
        <v>32</v>
      </c>
      <c r="J33" t="s">
        <v>33</v>
      </c>
      <c r="K33" t="s">
        <v>34</v>
      </c>
      <c r="L33" t="s">
        <v>43</v>
      </c>
      <c r="M33" t="s">
        <v>36</v>
      </c>
      <c r="N33" t="s">
        <v>38</v>
      </c>
      <c r="O33" t="s">
        <v>36</v>
      </c>
      <c r="P33" t="s">
        <v>36</v>
      </c>
      <c r="Q33" t="s">
        <v>37</v>
      </c>
      <c r="R33" t="s">
        <v>38</v>
      </c>
      <c r="S33" t="s">
        <v>38</v>
      </c>
      <c r="T33" t="s">
        <v>38</v>
      </c>
      <c r="U33" t="s">
        <v>37</v>
      </c>
      <c r="V33" t="s">
        <v>38</v>
      </c>
      <c r="W33" t="s">
        <v>36</v>
      </c>
      <c r="X33" t="s">
        <v>36</v>
      </c>
      <c r="Y33" t="s">
        <v>37</v>
      </c>
      <c r="Z33" t="s">
        <v>37</v>
      </c>
      <c r="AA33" t="s">
        <v>38</v>
      </c>
      <c r="AB33" t="s">
        <v>33</v>
      </c>
      <c r="AC33" t="s">
        <v>40</v>
      </c>
    </row>
    <row r="34" spans="1:29" x14ac:dyDescent="0.2">
      <c r="A34">
        <v>33</v>
      </c>
      <c r="B34" s="1">
        <v>46115.804155092592</v>
      </c>
      <c r="C34" s="1">
        <v>46115.806770833333</v>
      </c>
      <c r="D34" t="s">
        <v>29</v>
      </c>
      <c r="E34" s="2">
        <v>1995</v>
      </c>
      <c r="F34" t="s">
        <v>44</v>
      </c>
      <c r="G34" s="2">
        <v>2020</v>
      </c>
      <c r="H34" t="s">
        <v>50</v>
      </c>
      <c r="I34" t="s">
        <v>32</v>
      </c>
      <c r="J34" t="s">
        <v>33</v>
      </c>
      <c r="K34" t="s">
        <v>34</v>
      </c>
      <c r="L34" t="s">
        <v>72</v>
      </c>
      <c r="M34" t="s">
        <v>47</v>
      </c>
      <c r="N34" t="s">
        <v>47</v>
      </c>
      <c r="O34" t="s">
        <v>36</v>
      </c>
      <c r="P34" t="s">
        <v>37</v>
      </c>
      <c r="Q34" t="s">
        <v>39</v>
      </c>
      <c r="R34" t="s">
        <v>38</v>
      </c>
      <c r="S34" t="s">
        <v>47</v>
      </c>
      <c r="T34" t="s">
        <v>47</v>
      </c>
      <c r="U34" t="s">
        <v>39</v>
      </c>
      <c r="V34" t="s">
        <v>47</v>
      </c>
      <c r="W34" t="s">
        <v>38</v>
      </c>
      <c r="X34" t="s">
        <v>36</v>
      </c>
      <c r="Y34" t="s">
        <v>47</v>
      </c>
      <c r="Z34" t="s">
        <v>37</v>
      </c>
      <c r="AA34" t="s">
        <v>47</v>
      </c>
      <c r="AB34" t="s">
        <v>33</v>
      </c>
      <c r="AC34" t="s">
        <v>73</v>
      </c>
    </row>
    <row r="35" spans="1:29" x14ac:dyDescent="0.2">
      <c r="A35">
        <v>34</v>
      </c>
      <c r="B35" s="1">
        <v>46115.812777777777</v>
      </c>
      <c r="C35" s="1">
        <v>46115.815243055556</v>
      </c>
      <c r="D35" t="s">
        <v>29</v>
      </c>
      <c r="E35" s="2">
        <v>1997</v>
      </c>
      <c r="F35" t="s">
        <v>44</v>
      </c>
      <c r="G35" s="2">
        <v>2020</v>
      </c>
      <c r="H35" t="s">
        <v>50</v>
      </c>
      <c r="I35" t="s">
        <v>32</v>
      </c>
      <c r="J35" t="s">
        <v>33</v>
      </c>
      <c r="K35" t="s">
        <v>34</v>
      </c>
      <c r="L35" t="s">
        <v>64</v>
      </c>
      <c r="M35" t="s">
        <v>38</v>
      </c>
      <c r="N35" t="s">
        <v>38</v>
      </c>
      <c r="O35" t="s">
        <v>36</v>
      </c>
      <c r="P35" t="s">
        <v>37</v>
      </c>
      <c r="Q35" t="s">
        <v>37</v>
      </c>
      <c r="R35" t="s">
        <v>38</v>
      </c>
      <c r="S35" t="s">
        <v>38</v>
      </c>
      <c r="T35" t="s">
        <v>38</v>
      </c>
      <c r="U35" t="s">
        <v>36</v>
      </c>
      <c r="V35" t="s">
        <v>38</v>
      </c>
      <c r="W35" t="s">
        <v>38</v>
      </c>
      <c r="X35" t="s">
        <v>37</v>
      </c>
      <c r="Y35" t="s">
        <v>38</v>
      </c>
      <c r="Z35" t="s">
        <v>38</v>
      </c>
      <c r="AA35" t="s">
        <v>36</v>
      </c>
      <c r="AB35" t="s">
        <v>32</v>
      </c>
      <c r="AC35" t="s">
        <v>40</v>
      </c>
    </row>
    <row r="36" spans="1:29" x14ac:dyDescent="0.2">
      <c r="A36">
        <v>35</v>
      </c>
      <c r="B36" s="1">
        <v>46115.819918981484</v>
      </c>
      <c r="C36" s="1">
        <v>46115.821608796294</v>
      </c>
      <c r="D36" t="s">
        <v>29</v>
      </c>
      <c r="E36" s="2">
        <v>1984</v>
      </c>
      <c r="F36" t="s">
        <v>30</v>
      </c>
      <c r="G36" s="2">
        <v>2008</v>
      </c>
      <c r="H36" t="s">
        <v>45</v>
      </c>
      <c r="I36" t="s">
        <v>32</v>
      </c>
      <c r="J36" t="s">
        <v>33</v>
      </c>
      <c r="K36" t="s">
        <v>34</v>
      </c>
      <c r="L36" t="s">
        <v>43</v>
      </c>
      <c r="M36" t="s">
        <v>37</v>
      </c>
      <c r="N36" t="s">
        <v>36</v>
      </c>
      <c r="O36" t="s">
        <v>36</v>
      </c>
      <c r="P36" t="s">
        <v>37</v>
      </c>
      <c r="Q36" t="s">
        <v>39</v>
      </c>
      <c r="R36" t="s">
        <v>38</v>
      </c>
      <c r="S36" t="s">
        <v>38</v>
      </c>
      <c r="T36" t="s">
        <v>38</v>
      </c>
      <c r="U36" t="s">
        <v>39</v>
      </c>
      <c r="V36" t="s">
        <v>36</v>
      </c>
      <c r="W36" t="s">
        <v>36</v>
      </c>
      <c r="X36" t="s">
        <v>37</v>
      </c>
      <c r="Y36" t="s">
        <v>38</v>
      </c>
      <c r="Z36" t="s">
        <v>37</v>
      </c>
      <c r="AA36" t="s">
        <v>38</v>
      </c>
      <c r="AB36" t="s">
        <v>33</v>
      </c>
      <c r="AC36" t="s">
        <v>40</v>
      </c>
    </row>
    <row r="37" spans="1:29" x14ac:dyDescent="0.2">
      <c r="A37">
        <v>36</v>
      </c>
      <c r="B37" s="1">
        <v>46115.824629629627</v>
      </c>
      <c r="C37" s="1">
        <v>46115.827175925922</v>
      </c>
      <c r="D37" t="s">
        <v>29</v>
      </c>
      <c r="E37" s="2">
        <v>1997</v>
      </c>
      <c r="F37" t="s">
        <v>44</v>
      </c>
      <c r="G37" s="2">
        <v>2020</v>
      </c>
      <c r="H37" t="s">
        <v>50</v>
      </c>
      <c r="I37" t="s">
        <v>32</v>
      </c>
      <c r="J37" t="s">
        <v>32</v>
      </c>
      <c r="K37" t="s">
        <v>34</v>
      </c>
      <c r="L37" t="s">
        <v>64</v>
      </c>
      <c r="M37" t="s">
        <v>38</v>
      </c>
      <c r="N37" t="s">
        <v>38</v>
      </c>
      <c r="O37" t="s">
        <v>36</v>
      </c>
      <c r="P37" t="s">
        <v>37</v>
      </c>
      <c r="Q37" t="s">
        <v>39</v>
      </c>
      <c r="R37" t="s">
        <v>36</v>
      </c>
      <c r="S37" t="s">
        <v>38</v>
      </c>
      <c r="T37" t="s">
        <v>37</v>
      </c>
      <c r="U37" t="s">
        <v>36</v>
      </c>
      <c r="V37" t="s">
        <v>36</v>
      </c>
      <c r="W37" t="s">
        <v>36</v>
      </c>
      <c r="X37" t="s">
        <v>37</v>
      </c>
      <c r="Y37" t="s">
        <v>37</v>
      </c>
      <c r="Z37" t="s">
        <v>37</v>
      </c>
      <c r="AA37" t="s">
        <v>36</v>
      </c>
      <c r="AB37" t="s">
        <v>32</v>
      </c>
      <c r="AC37" t="s">
        <v>55</v>
      </c>
    </row>
    <row r="38" spans="1:29" x14ac:dyDescent="0.2">
      <c r="A38">
        <v>37</v>
      </c>
      <c r="B38" s="1">
        <v>46115.831145833334</v>
      </c>
      <c r="C38" s="1">
        <v>46115.836655092593</v>
      </c>
      <c r="D38" t="s">
        <v>29</v>
      </c>
      <c r="E38" s="2">
        <v>1996</v>
      </c>
      <c r="F38" t="s">
        <v>30</v>
      </c>
      <c r="G38" s="2">
        <v>2020</v>
      </c>
      <c r="H38" t="s">
        <v>50</v>
      </c>
      <c r="I38" t="s">
        <v>32</v>
      </c>
      <c r="J38" t="s">
        <v>33</v>
      </c>
      <c r="K38" t="s">
        <v>34</v>
      </c>
      <c r="L38" t="s">
        <v>74</v>
      </c>
      <c r="M38" t="s">
        <v>47</v>
      </c>
      <c r="N38" t="s">
        <v>36</v>
      </c>
      <c r="O38" t="s">
        <v>38</v>
      </c>
      <c r="P38" t="s">
        <v>38</v>
      </c>
      <c r="Q38" t="s">
        <v>39</v>
      </c>
      <c r="R38" t="s">
        <v>47</v>
      </c>
      <c r="S38" t="s">
        <v>47</v>
      </c>
      <c r="T38" t="s">
        <v>47</v>
      </c>
      <c r="U38" t="s">
        <v>39</v>
      </c>
      <c r="V38" t="s">
        <v>47</v>
      </c>
      <c r="W38" t="s">
        <v>36</v>
      </c>
      <c r="X38" t="s">
        <v>38</v>
      </c>
      <c r="Y38" t="s">
        <v>37</v>
      </c>
      <c r="Z38" t="s">
        <v>38</v>
      </c>
      <c r="AA38" t="s">
        <v>47</v>
      </c>
      <c r="AB38" t="s">
        <v>32</v>
      </c>
      <c r="AC38" t="s">
        <v>68</v>
      </c>
    </row>
    <row r="39" spans="1:29" x14ac:dyDescent="0.2">
      <c r="A39">
        <v>38</v>
      </c>
      <c r="B39" s="1">
        <v>46115.853692129633</v>
      </c>
      <c r="C39" s="1">
        <v>46115.858206018522</v>
      </c>
      <c r="D39" t="s">
        <v>29</v>
      </c>
      <c r="E39" s="2">
        <v>1976</v>
      </c>
      <c r="F39" t="s">
        <v>30</v>
      </c>
      <c r="G39" s="2">
        <v>2020</v>
      </c>
      <c r="H39" t="s">
        <v>45</v>
      </c>
      <c r="I39" t="s">
        <v>32</v>
      </c>
      <c r="J39" t="s">
        <v>33</v>
      </c>
      <c r="K39" t="s">
        <v>42</v>
      </c>
      <c r="L39" t="s">
        <v>72</v>
      </c>
      <c r="M39" t="s">
        <v>47</v>
      </c>
      <c r="N39" t="s">
        <v>47</v>
      </c>
      <c r="O39" t="s">
        <v>47</v>
      </c>
      <c r="P39" t="s">
        <v>38</v>
      </c>
      <c r="Q39" t="s">
        <v>39</v>
      </c>
      <c r="R39" t="s">
        <v>38</v>
      </c>
      <c r="S39" t="s">
        <v>47</v>
      </c>
      <c r="T39" t="s">
        <v>38</v>
      </c>
      <c r="U39" t="s">
        <v>37</v>
      </c>
      <c r="V39" t="s">
        <v>47</v>
      </c>
      <c r="W39" t="s">
        <v>47</v>
      </c>
      <c r="X39" t="s">
        <v>47</v>
      </c>
      <c r="Y39" t="s">
        <v>38</v>
      </c>
      <c r="Z39" t="s">
        <v>37</v>
      </c>
      <c r="AA39" t="s">
        <v>47</v>
      </c>
      <c r="AB39" t="s">
        <v>33</v>
      </c>
      <c r="AC39" t="s">
        <v>40</v>
      </c>
    </row>
    <row r="40" spans="1:29" x14ac:dyDescent="0.2">
      <c r="A40">
        <v>39</v>
      </c>
      <c r="B40" s="1">
        <v>46115.881666666668</v>
      </c>
      <c r="C40" s="1">
        <v>46115.887303240743</v>
      </c>
      <c r="D40" t="s">
        <v>29</v>
      </c>
      <c r="E40" s="2">
        <v>1986</v>
      </c>
      <c r="F40" t="s">
        <v>44</v>
      </c>
      <c r="G40" s="2">
        <v>2010</v>
      </c>
      <c r="H40" t="s">
        <v>75</v>
      </c>
      <c r="I40" t="s">
        <v>33</v>
      </c>
      <c r="J40" t="s">
        <v>33</v>
      </c>
      <c r="K40" t="s">
        <v>34</v>
      </c>
      <c r="L40" t="s">
        <v>76</v>
      </c>
      <c r="M40" t="s">
        <v>47</v>
      </c>
      <c r="N40" t="s">
        <v>38</v>
      </c>
      <c r="O40" t="s">
        <v>36</v>
      </c>
      <c r="P40" t="s">
        <v>37</v>
      </c>
      <c r="Q40" t="s">
        <v>37</v>
      </c>
      <c r="R40" t="s">
        <v>38</v>
      </c>
      <c r="S40" t="s">
        <v>38</v>
      </c>
      <c r="T40" t="s">
        <v>37</v>
      </c>
      <c r="U40" t="s">
        <v>47</v>
      </c>
      <c r="V40" t="s">
        <v>36</v>
      </c>
      <c r="W40" t="s">
        <v>47</v>
      </c>
      <c r="X40" t="s">
        <v>36</v>
      </c>
      <c r="Y40" t="s">
        <v>37</v>
      </c>
      <c r="Z40" t="s">
        <v>38</v>
      </c>
      <c r="AA40" t="s">
        <v>47</v>
      </c>
      <c r="AB40" t="s">
        <v>33</v>
      </c>
      <c r="AC40" t="s">
        <v>40</v>
      </c>
    </row>
    <row r="41" spans="1:29" x14ac:dyDescent="0.2">
      <c r="A41">
        <v>40</v>
      </c>
      <c r="B41" s="1">
        <v>46116.49422453704</v>
      </c>
      <c r="C41" s="1">
        <v>46116.497361111113</v>
      </c>
      <c r="D41" t="s">
        <v>29</v>
      </c>
      <c r="E41" s="2">
        <v>1993</v>
      </c>
      <c r="F41" t="s">
        <v>30</v>
      </c>
      <c r="G41" s="2">
        <v>2017</v>
      </c>
      <c r="H41" t="s">
        <v>50</v>
      </c>
      <c r="I41" t="s">
        <v>33</v>
      </c>
      <c r="J41" t="s">
        <v>33</v>
      </c>
      <c r="K41" t="s">
        <v>34</v>
      </c>
      <c r="L41" t="s">
        <v>62</v>
      </c>
      <c r="M41" t="s">
        <v>47</v>
      </c>
      <c r="N41" t="s">
        <v>37</v>
      </c>
      <c r="O41" t="s">
        <v>47</v>
      </c>
      <c r="P41" t="s">
        <v>37</v>
      </c>
      <c r="Q41" t="s">
        <v>39</v>
      </c>
      <c r="R41" t="s">
        <v>47</v>
      </c>
      <c r="S41" t="s">
        <v>47</v>
      </c>
      <c r="T41" t="s">
        <v>47</v>
      </c>
      <c r="U41" t="s">
        <v>39</v>
      </c>
      <c r="V41" t="s">
        <v>47</v>
      </c>
      <c r="W41" t="s">
        <v>47</v>
      </c>
      <c r="X41" t="s">
        <v>47</v>
      </c>
      <c r="Y41" t="s">
        <v>47</v>
      </c>
      <c r="Z41" t="s">
        <v>47</v>
      </c>
      <c r="AA41" t="s">
        <v>47</v>
      </c>
      <c r="AB41" t="s">
        <v>33</v>
      </c>
      <c r="AC41" t="s">
        <v>40</v>
      </c>
    </row>
    <row r="42" spans="1:29" x14ac:dyDescent="0.2">
      <c r="A42">
        <v>41</v>
      </c>
      <c r="B42" s="1">
        <v>46116.622164351851</v>
      </c>
      <c r="C42" s="1">
        <v>46116.629618055558</v>
      </c>
      <c r="D42" t="s">
        <v>29</v>
      </c>
      <c r="E42" s="2">
        <v>1980</v>
      </c>
      <c r="F42" t="s">
        <v>44</v>
      </c>
      <c r="G42" s="2">
        <v>2002</v>
      </c>
      <c r="H42" t="s">
        <v>45</v>
      </c>
      <c r="I42" t="s">
        <v>32</v>
      </c>
      <c r="J42" t="s">
        <v>33</v>
      </c>
      <c r="K42" t="s">
        <v>42</v>
      </c>
      <c r="L42" t="s">
        <v>72</v>
      </c>
      <c r="M42" t="s">
        <v>47</v>
      </c>
      <c r="N42" t="s">
        <v>36</v>
      </c>
      <c r="O42" t="s">
        <v>36</v>
      </c>
      <c r="P42" t="s">
        <v>36</v>
      </c>
      <c r="Q42" t="s">
        <v>37</v>
      </c>
      <c r="R42" t="s">
        <v>37</v>
      </c>
      <c r="S42" t="s">
        <v>36</v>
      </c>
      <c r="T42" t="s">
        <v>37</v>
      </c>
      <c r="U42" t="s">
        <v>37</v>
      </c>
      <c r="V42" t="s">
        <v>38</v>
      </c>
      <c r="W42" t="s">
        <v>36</v>
      </c>
      <c r="X42" t="s">
        <v>36</v>
      </c>
      <c r="Y42" t="s">
        <v>38</v>
      </c>
      <c r="Z42" t="s">
        <v>37</v>
      </c>
      <c r="AA42" t="s">
        <v>36</v>
      </c>
      <c r="AB42" t="s">
        <v>32</v>
      </c>
      <c r="AC42" t="s">
        <v>40</v>
      </c>
    </row>
    <row r="43" spans="1:29" x14ac:dyDescent="0.2">
      <c r="A43">
        <v>42</v>
      </c>
      <c r="B43" s="1">
        <v>46116.68787037037</v>
      </c>
      <c r="C43" s="1">
        <v>46116.689652777779</v>
      </c>
      <c r="D43" t="s">
        <v>29</v>
      </c>
      <c r="E43" s="2">
        <v>1995</v>
      </c>
      <c r="F43" t="s">
        <v>30</v>
      </c>
      <c r="G43" s="2">
        <v>2019</v>
      </c>
      <c r="H43" t="s">
        <v>50</v>
      </c>
      <c r="I43" t="s">
        <v>32</v>
      </c>
      <c r="J43" t="s">
        <v>33</v>
      </c>
      <c r="K43" t="s">
        <v>34</v>
      </c>
      <c r="L43" t="s">
        <v>43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38</v>
      </c>
      <c r="S43" t="s">
        <v>36</v>
      </c>
      <c r="T43" t="s">
        <v>38</v>
      </c>
      <c r="U43" t="s">
        <v>36</v>
      </c>
      <c r="V43" t="s">
        <v>37</v>
      </c>
      <c r="W43" t="s">
        <v>38</v>
      </c>
      <c r="X43" t="s">
        <v>36</v>
      </c>
      <c r="Y43" t="s">
        <v>37</v>
      </c>
      <c r="Z43" t="s">
        <v>38</v>
      </c>
      <c r="AA43" t="s">
        <v>36</v>
      </c>
      <c r="AB43" t="s">
        <v>33</v>
      </c>
      <c r="AC43" t="s">
        <v>40</v>
      </c>
    </row>
    <row r="44" spans="1:29" x14ac:dyDescent="0.2">
      <c r="A44">
        <v>43</v>
      </c>
      <c r="B44" s="1">
        <v>46116.688078703701</v>
      </c>
      <c r="C44" s="1">
        <v>46116.691921296297</v>
      </c>
      <c r="D44" t="s">
        <v>29</v>
      </c>
      <c r="E44" s="2">
        <v>1995</v>
      </c>
      <c r="F44" t="s">
        <v>44</v>
      </c>
      <c r="G44" s="2">
        <v>2019</v>
      </c>
      <c r="H44" t="s">
        <v>50</v>
      </c>
      <c r="I44" t="s">
        <v>32</v>
      </c>
      <c r="J44" t="s">
        <v>33</v>
      </c>
      <c r="K44" t="s">
        <v>34</v>
      </c>
      <c r="L44" t="s">
        <v>72</v>
      </c>
      <c r="M44" t="s">
        <v>38</v>
      </c>
      <c r="N44" t="s">
        <v>38</v>
      </c>
      <c r="O44" t="s">
        <v>38</v>
      </c>
      <c r="P44" t="s">
        <v>38</v>
      </c>
      <c r="Q44" t="s">
        <v>37</v>
      </c>
      <c r="R44" t="s">
        <v>38</v>
      </c>
      <c r="S44" t="s">
        <v>38</v>
      </c>
      <c r="T44" t="s">
        <v>38</v>
      </c>
      <c r="U44" t="s">
        <v>37</v>
      </c>
      <c r="V44" t="s">
        <v>38</v>
      </c>
      <c r="W44" t="s">
        <v>38</v>
      </c>
      <c r="X44" t="s">
        <v>38</v>
      </c>
      <c r="Y44" t="s">
        <v>38</v>
      </c>
      <c r="Z44" t="s">
        <v>38</v>
      </c>
      <c r="AA44" t="s">
        <v>38</v>
      </c>
      <c r="AB44" t="s">
        <v>33</v>
      </c>
      <c r="AC44" t="s">
        <v>48</v>
      </c>
    </row>
    <row r="45" spans="1:29" x14ac:dyDescent="0.2">
      <c r="A45">
        <v>44</v>
      </c>
      <c r="B45" s="1">
        <v>46116.692893518521</v>
      </c>
      <c r="C45" s="1">
        <v>46116.6953125</v>
      </c>
      <c r="D45" t="s">
        <v>29</v>
      </c>
      <c r="E45" s="2">
        <v>1990</v>
      </c>
      <c r="F45" t="s">
        <v>44</v>
      </c>
      <c r="G45" s="2">
        <v>2014</v>
      </c>
      <c r="H45" t="s">
        <v>77</v>
      </c>
      <c r="I45" t="s">
        <v>33</v>
      </c>
      <c r="J45" t="s">
        <v>33</v>
      </c>
      <c r="K45" t="s">
        <v>34</v>
      </c>
      <c r="L45" t="s">
        <v>46</v>
      </c>
      <c r="M45" t="s">
        <v>47</v>
      </c>
      <c r="N45" t="s">
        <v>38</v>
      </c>
      <c r="O45" t="s">
        <v>37</v>
      </c>
      <c r="P45" t="s">
        <v>36</v>
      </c>
      <c r="Q45" t="s">
        <v>39</v>
      </c>
      <c r="R45" t="s">
        <v>38</v>
      </c>
      <c r="S45" t="s">
        <v>38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38</v>
      </c>
      <c r="Z45" t="s">
        <v>37</v>
      </c>
      <c r="AA45" t="s">
        <v>36</v>
      </c>
      <c r="AB45" t="s">
        <v>32</v>
      </c>
      <c r="AC45" t="s">
        <v>40</v>
      </c>
    </row>
    <row r="46" spans="1:29" x14ac:dyDescent="0.2">
      <c r="A46">
        <v>45</v>
      </c>
      <c r="B46" s="1">
        <v>46116.708344907405</v>
      </c>
      <c r="C46" s="1">
        <v>46116.711550925924</v>
      </c>
      <c r="D46" t="s">
        <v>29</v>
      </c>
      <c r="E46" s="2">
        <v>1964</v>
      </c>
      <c r="F46" t="s">
        <v>30</v>
      </c>
      <c r="G46" s="2">
        <v>1987</v>
      </c>
      <c r="H46" t="s">
        <v>58</v>
      </c>
      <c r="I46" t="s">
        <v>32</v>
      </c>
      <c r="J46" t="s">
        <v>33</v>
      </c>
      <c r="K46" t="s">
        <v>42</v>
      </c>
      <c r="L46" t="s">
        <v>51</v>
      </c>
      <c r="M46" t="s">
        <v>47</v>
      </c>
      <c r="N46" t="s">
        <v>38</v>
      </c>
      <c r="O46" t="s">
        <v>38</v>
      </c>
      <c r="P46" t="s">
        <v>38</v>
      </c>
      <c r="Q46" t="s">
        <v>39</v>
      </c>
      <c r="R46" t="s">
        <v>47</v>
      </c>
      <c r="S46" t="s">
        <v>47</v>
      </c>
      <c r="T46" t="s">
        <v>38</v>
      </c>
      <c r="U46" t="s">
        <v>36</v>
      </c>
      <c r="V46" t="s">
        <v>38</v>
      </c>
      <c r="W46" t="s">
        <v>38</v>
      </c>
      <c r="X46" t="s">
        <v>38</v>
      </c>
      <c r="Y46" t="s">
        <v>38</v>
      </c>
      <c r="Z46" t="s">
        <v>37</v>
      </c>
      <c r="AA46" t="s">
        <v>47</v>
      </c>
      <c r="AB46" t="s">
        <v>33</v>
      </c>
      <c r="AC46" t="s">
        <v>78</v>
      </c>
    </row>
    <row r="47" spans="1:29" x14ac:dyDescent="0.2">
      <c r="A47">
        <v>46</v>
      </c>
      <c r="B47" s="1">
        <v>46117.027442129627</v>
      </c>
      <c r="C47" s="1">
        <v>46117.029930555553</v>
      </c>
      <c r="D47" t="s">
        <v>29</v>
      </c>
      <c r="E47" s="2">
        <v>1972</v>
      </c>
      <c r="F47" t="s">
        <v>30</v>
      </c>
      <c r="G47" s="2">
        <v>1994</v>
      </c>
      <c r="H47" t="s">
        <v>45</v>
      </c>
      <c r="I47" t="s">
        <v>32</v>
      </c>
      <c r="J47" t="s">
        <v>33</v>
      </c>
      <c r="K47" t="s">
        <v>42</v>
      </c>
      <c r="L47" t="s">
        <v>72</v>
      </c>
      <c r="M47" t="s">
        <v>47</v>
      </c>
      <c r="N47" t="s">
        <v>37</v>
      </c>
      <c r="O47" t="s">
        <v>38</v>
      </c>
      <c r="P47" t="s">
        <v>39</v>
      </c>
      <c r="Q47" t="s">
        <v>39</v>
      </c>
      <c r="R47" t="s">
        <v>38</v>
      </c>
      <c r="S47" t="s">
        <v>47</v>
      </c>
      <c r="T47" t="s">
        <v>38</v>
      </c>
      <c r="U47" t="s">
        <v>37</v>
      </c>
      <c r="V47" t="s">
        <v>36</v>
      </c>
      <c r="W47" t="s">
        <v>36</v>
      </c>
      <c r="X47" t="s">
        <v>38</v>
      </c>
      <c r="Y47" t="s">
        <v>38</v>
      </c>
      <c r="Z47" t="s">
        <v>37</v>
      </c>
      <c r="AA47" t="s">
        <v>38</v>
      </c>
      <c r="AB47" t="s">
        <v>32</v>
      </c>
      <c r="AC47" t="s">
        <v>52</v>
      </c>
    </row>
    <row r="48" spans="1:29" x14ac:dyDescent="0.2">
      <c r="A48">
        <v>47</v>
      </c>
      <c r="B48" s="1">
        <v>46117.610706018517</v>
      </c>
      <c r="C48" s="1">
        <v>46117.613854166666</v>
      </c>
      <c r="D48" t="s">
        <v>29</v>
      </c>
      <c r="E48" s="2">
        <v>1997</v>
      </c>
      <c r="F48" t="s">
        <v>30</v>
      </c>
      <c r="G48" s="2">
        <v>2020</v>
      </c>
      <c r="H48" t="s">
        <v>50</v>
      </c>
      <c r="I48" t="s">
        <v>32</v>
      </c>
      <c r="J48" t="s">
        <v>33</v>
      </c>
      <c r="K48" t="s">
        <v>34</v>
      </c>
      <c r="L48" t="s">
        <v>79</v>
      </c>
      <c r="M48" t="s">
        <v>37</v>
      </c>
      <c r="N48" t="s">
        <v>37</v>
      </c>
      <c r="O48" t="s">
        <v>36</v>
      </c>
      <c r="P48" t="s">
        <v>39</v>
      </c>
      <c r="Q48" t="s">
        <v>39</v>
      </c>
      <c r="R48" t="s">
        <v>37</v>
      </c>
      <c r="S48" t="s">
        <v>36</v>
      </c>
      <c r="T48" t="s">
        <v>37</v>
      </c>
      <c r="U48" t="s">
        <v>37</v>
      </c>
      <c r="V48" t="s">
        <v>38</v>
      </c>
      <c r="W48" t="s">
        <v>38</v>
      </c>
      <c r="X48" t="s">
        <v>37</v>
      </c>
      <c r="Y48" t="s">
        <v>37</v>
      </c>
      <c r="Z48" t="s">
        <v>39</v>
      </c>
      <c r="AA48" t="s">
        <v>37</v>
      </c>
      <c r="AB48" t="s">
        <v>33</v>
      </c>
      <c r="AC48" t="s">
        <v>80</v>
      </c>
    </row>
    <row r="49" spans="1:29" x14ac:dyDescent="0.2">
      <c r="A49">
        <v>48</v>
      </c>
      <c r="B49" s="1">
        <v>46118.747986111113</v>
      </c>
      <c r="C49" s="1">
        <v>46118.750347222223</v>
      </c>
      <c r="D49" t="s">
        <v>29</v>
      </c>
      <c r="E49" s="2">
        <v>1995</v>
      </c>
      <c r="F49" t="s">
        <v>44</v>
      </c>
      <c r="G49" s="2">
        <v>2019</v>
      </c>
      <c r="H49" t="s">
        <v>53</v>
      </c>
      <c r="I49" t="s">
        <v>32</v>
      </c>
      <c r="J49" t="s">
        <v>33</v>
      </c>
      <c r="K49" t="s">
        <v>34</v>
      </c>
      <c r="L49" t="s">
        <v>81</v>
      </c>
      <c r="M49" t="s">
        <v>38</v>
      </c>
      <c r="N49" t="s">
        <v>38</v>
      </c>
      <c r="O49" t="s">
        <v>36</v>
      </c>
      <c r="P49" t="s">
        <v>36</v>
      </c>
      <c r="Q49" t="s">
        <v>39</v>
      </c>
      <c r="R49" t="s">
        <v>38</v>
      </c>
      <c r="S49" t="s">
        <v>36</v>
      </c>
      <c r="T49" t="s">
        <v>38</v>
      </c>
      <c r="U49" t="s">
        <v>39</v>
      </c>
      <c r="V49" t="s">
        <v>36</v>
      </c>
      <c r="W49" t="s">
        <v>36</v>
      </c>
      <c r="X49" t="s">
        <v>36</v>
      </c>
      <c r="Y49" t="s">
        <v>37</v>
      </c>
      <c r="Z49" t="s">
        <v>36</v>
      </c>
      <c r="AA49" t="s">
        <v>38</v>
      </c>
      <c r="AB49" t="s">
        <v>33</v>
      </c>
      <c r="AC49" t="s">
        <v>55</v>
      </c>
    </row>
    <row r="50" spans="1:29" x14ac:dyDescent="0.2">
      <c r="A50">
        <v>49</v>
      </c>
      <c r="B50" s="1">
        <v>46119.468043981484</v>
      </c>
      <c r="C50" s="1">
        <v>46119.470486111109</v>
      </c>
      <c r="D50" t="s">
        <v>29</v>
      </c>
      <c r="E50" s="2">
        <v>1993</v>
      </c>
      <c r="F50" t="s">
        <v>30</v>
      </c>
      <c r="G50" s="2">
        <v>2017</v>
      </c>
      <c r="H50" t="s">
        <v>50</v>
      </c>
      <c r="I50" t="s">
        <v>32</v>
      </c>
      <c r="J50" t="s">
        <v>32</v>
      </c>
      <c r="K50" t="s">
        <v>34</v>
      </c>
      <c r="L50" t="s">
        <v>43</v>
      </c>
      <c r="M50" t="s">
        <v>39</v>
      </c>
      <c r="N50" t="s">
        <v>36</v>
      </c>
      <c r="O50" t="s">
        <v>39</v>
      </c>
      <c r="P50" t="s">
        <v>39</v>
      </c>
      <c r="Q50" t="s">
        <v>39</v>
      </c>
      <c r="R50" t="s">
        <v>38</v>
      </c>
      <c r="S50" t="s">
        <v>38</v>
      </c>
      <c r="T50" t="s">
        <v>37</v>
      </c>
      <c r="U50" t="s">
        <v>37</v>
      </c>
      <c r="V50" t="s">
        <v>39</v>
      </c>
      <c r="W50" t="s">
        <v>38</v>
      </c>
      <c r="X50" t="s">
        <v>39</v>
      </c>
      <c r="Y50" t="s">
        <v>38</v>
      </c>
      <c r="Z50" t="s">
        <v>39</v>
      </c>
      <c r="AA50" t="s">
        <v>38</v>
      </c>
      <c r="AB50" t="s">
        <v>32</v>
      </c>
      <c r="AC50" t="s">
        <v>40</v>
      </c>
    </row>
    <row r="51" spans="1:29" x14ac:dyDescent="0.2">
      <c r="A51">
        <v>50</v>
      </c>
      <c r="B51" s="1">
        <v>46121.602708333332</v>
      </c>
      <c r="C51" s="1">
        <v>46121.607870370368</v>
      </c>
      <c r="D51" t="s">
        <v>29</v>
      </c>
      <c r="E51" s="2">
        <v>1994</v>
      </c>
      <c r="F51" t="s">
        <v>44</v>
      </c>
      <c r="G51" s="2">
        <v>2018</v>
      </c>
      <c r="H51" t="s">
        <v>50</v>
      </c>
      <c r="I51" t="s">
        <v>32</v>
      </c>
      <c r="J51" t="s">
        <v>32</v>
      </c>
      <c r="K51" t="s">
        <v>34</v>
      </c>
      <c r="L51" t="s">
        <v>51</v>
      </c>
      <c r="M51" t="s">
        <v>37</v>
      </c>
      <c r="N51" t="s">
        <v>36</v>
      </c>
      <c r="O51" t="s">
        <v>37</v>
      </c>
      <c r="P51" t="s">
        <v>37</v>
      </c>
      <c r="Q51" t="s">
        <v>37</v>
      </c>
      <c r="R51" t="s">
        <v>37</v>
      </c>
      <c r="S51" t="s">
        <v>37</v>
      </c>
      <c r="T51" t="s">
        <v>36</v>
      </c>
      <c r="U51" t="s">
        <v>36</v>
      </c>
      <c r="V51" t="s">
        <v>36</v>
      </c>
      <c r="W51" t="s">
        <v>36</v>
      </c>
      <c r="X51" t="s">
        <v>37</v>
      </c>
      <c r="Y51" t="s">
        <v>36</v>
      </c>
      <c r="Z51" t="s">
        <v>37</v>
      </c>
      <c r="AA51" t="s">
        <v>36</v>
      </c>
      <c r="AB51" t="s">
        <v>33</v>
      </c>
      <c r="AC51" t="s">
        <v>48</v>
      </c>
    </row>
    <row r="52" spans="1:29" x14ac:dyDescent="0.2">
      <c r="A52">
        <v>51</v>
      </c>
      <c r="B52" s="1">
        <v>46121.610937500001</v>
      </c>
      <c r="C52" s="1">
        <v>46121.615300925929</v>
      </c>
      <c r="D52" t="s">
        <v>29</v>
      </c>
      <c r="E52" s="2">
        <v>1996</v>
      </c>
      <c r="F52" t="s">
        <v>30</v>
      </c>
      <c r="G52" s="2">
        <v>2020</v>
      </c>
      <c r="H52" t="s">
        <v>50</v>
      </c>
      <c r="I52" t="s">
        <v>32</v>
      </c>
      <c r="J52" t="s">
        <v>33</v>
      </c>
      <c r="K52" t="s">
        <v>34</v>
      </c>
      <c r="L52" t="s">
        <v>43</v>
      </c>
      <c r="M52" t="s">
        <v>38</v>
      </c>
      <c r="N52" t="s">
        <v>47</v>
      </c>
      <c r="O52" t="s">
        <v>38</v>
      </c>
      <c r="P52" t="s">
        <v>38</v>
      </c>
      <c r="Q52" t="s">
        <v>39</v>
      </c>
      <c r="R52" t="s">
        <v>38</v>
      </c>
      <c r="S52" t="s">
        <v>38</v>
      </c>
      <c r="T52" t="s">
        <v>38</v>
      </c>
      <c r="U52" t="s">
        <v>37</v>
      </c>
      <c r="V52" t="s">
        <v>38</v>
      </c>
      <c r="W52" t="s">
        <v>38</v>
      </c>
      <c r="X52" t="s">
        <v>37</v>
      </c>
      <c r="Y52" t="s">
        <v>38</v>
      </c>
      <c r="Z52" t="s">
        <v>38</v>
      </c>
      <c r="AA52" t="s">
        <v>38</v>
      </c>
      <c r="AB52" t="s">
        <v>33</v>
      </c>
      <c r="AC52" t="s">
        <v>55</v>
      </c>
    </row>
    <row r="53" spans="1:29" x14ac:dyDescent="0.2">
      <c r="A53">
        <v>52</v>
      </c>
      <c r="B53" s="1">
        <v>46123.484803240739</v>
      </c>
      <c r="C53" s="1">
        <v>46123.486759259256</v>
      </c>
      <c r="D53" t="s">
        <v>29</v>
      </c>
      <c r="E53" s="2">
        <v>1986</v>
      </c>
      <c r="F53" t="s">
        <v>30</v>
      </c>
      <c r="G53" s="2">
        <v>2009</v>
      </c>
      <c r="H53" t="s">
        <v>45</v>
      </c>
      <c r="I53" t="s">
        <v>33</v>
      </c>
      <c r="J53" t="s">
        <v>33</v>
      </c>
      <c r="K53" t="s">
        <v>66</v>
      </c>
      <c r="L53" t="s">
        <v>43</v>
      </c>
      <c r="M53" t="s">
        <v>37</v>
      </c>
      <c r="N53" t="s">
        <v>38</v>
      </c>
      <c r="O53" t="s">
        <v>38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38</v>
      </c>
      <c r="W53" t="s">
        <v>38</v>
      </c>
      <c r="X53" t="s">
        <v>37</v>
      </c>
      <c r="Y53" t="s">
        <v>38</v>
      </c>
      <c r="Z53" t="s">
        <v>37</v>
      </c>
      <c r="AA53" t="s">
        <v>38</v>
      </c>
      <c r="AB53" t="s">
        <v>33</v>
      </c>
      <c r="AC53" t="s">
        <v>40</v>
      </c>
    </row>
    <row r="54" spans="1:29" x14ac:dyDescent="0.2">
      <c r="A54">
        <v>53</v>
      </c>
      <c r="B54" s="1">
        <v>46125.966377314813</v>
      </c>
      <c r="C54" s="1">
        <v>46125.968287037038</v>
      </c>
      <c r="D54" t="s">
        <v>29</v>
      </c>
      <c r="E54" s="2">
        <v>1994</v>
      </c>
      <c r="F54" t="s">
        <v>30</v>
      </c>
      <c r="G54" s="2">
        <v>2018</v>
      </c>
      <c r="H54" t="s">
        <v>50</v>
      </c>
      <c r="I54" t="s">
        <v>32</v>
      </c>
      <c r="J54" t="s">
        <v>33</v>
      </c>
      <c r="K54" t="s">
        <v>66</v>
      </c>
      <c r="L54" t="s">
        <v>64</v>
      </c>
      <c r="M54" t="s">
        <v>47</v>
      </c>
      <c r="N54" t="s">
        <v>47</v>
      </c>
      <c r="O54" t="s">
        <v>38</v>
      </c>
      <c r="P54" t="s">
        <v>36</v>
      </c>
      <c r="Q54" t="s">
        <v>39</v>
      </c>
      <c r="R54" t="s">
        <v>47</v>
      </c>
      <c r="S54" t="s">
        <v>47</v>
      </c>
      <c r="T54" t="s">
        <v>47</v>
      </c>
      <c r="U54" t="s">
        <v>39</v>
      </c>
      <c r="V54" t="s">
        <v>47</v>
      </c>
      <c r="W54" t="s">
        <v>36</v>
      </c>
      <c r="X54" t="s">
        <v>47</v>
      </c>
      <c r="Y54" t="s">
        <v>39</v>
      </c>
      <c r="Z54" t="s">
        <v>38</v>
      </c>
      <c r="AA54" t="s">
        <v>47</v>
      </c>
      <c r="AB54" t="s">
        <v>33</v>
      </c>
      <c r="AC54" t="s">
        <v>82</v>
      </c>
    </row>
    <row r="55" spans="1:29" x14ac:dyDescent="0.2">
      <c r="A55">
        <v>54</v>
      </c>
      <c r="B55" s="1">
        <v>46126.447638888887</v>
      </c>
      <c r="C55" s="1">
        <v>46126.448807870373</v>
      </c>
      <c r="D55" t="s">
        <v>29</v>
      </c>
      <c r="E55" s="2">
        <v>1956</v>
      </c>
      <c r="F55" t="s">
        <v>30</v>
      </c>
      <c r="G55" s="2">
        <v>1980</v>
      </c>
      <c r="H55" t="s">
        <v>50</v>
      </c>
      <c r="I55" t="s">
        <v>32</v>
      </c>
      <c r="J55" t="s">
        <v>33</v>
      </c>
      <c r="K55" t="s">
        <v>42</v>
      </c>
      <c r="L55" t="s">
        <v>83</v>
      </c>
      <c r="M55" t="s">
        <v>47</v>
      </c>
      <c r="N55" t="s">
        <v>47</v>
      </c>
      <c r="O55" t="s">
        <v>47</v>
      </c>
      <c r="P55" t="s">
        <v>37</v>
      </c>
      <c r="Q55" t="s">
        <v>39</v>
      </c>
      <c r="R55" t="s">
        <v>38</v>
      </c>
      <c r="S55" t="s">
        <v>47</v>
      </c>
      <c r="T55" t="s">
        <v>47</v>
      </c>
      <c r="U55" t="s">
        <v>39</v>
      </c>
      <c r="V55" t="s">
        <v>47</v>
      </c>
      <c r="W55" t="s">
        <v>36</v>
      </c>
      <c r="X55" t="s">
        <v>36</v>
      </c>
      <c r="Y55" t="s">
        <v>37</v>
      </c>
      <c r="Z55" t="s">
        <v>37</v>
      </c>
      <c r="AA55" t="s">
        <v>47</v>
      </c>
      <c r="AB55" t="s">
        <v>33</v>
      </c>
      <c r="AC55" t="s">
        <v>82</v>
      </c>
    </row>
    <row r="56" spans="1:29" x14ac:dyDescent="0.2">
      <c r="A56">
        <v>55</v>
      </c>
      <c r="B56" s="1">
        <v>46127.562743055554</v>
      </c>
      <c r="C56" s="1">
        <v>46127.564699074072</v>
      </c>
      <c r="D56" t="s">
        <v>29</v>
      </c>
      <c r="E56" s="2">
        <v>1992</v>
      </c>
      <c r="F56" t="s">
        <v>44</v>
      </c>
      <c r="G56" s="2">
        <v>2016</v>
      </c>
      <c r="H56" t="s">
        <v>75</v>
      </c>
      <c r="I56" t="s">
        <v>32</v>
      </c>
      <c r="J56" t="s">
        <v>33</v>
      </c>
      <c r="K56" t="s">
        <v>66</v>
      </c>
      <c r="L56" t="s">
        <v>84</v>
      </c>
      <c r="M56" t="s">
        <v>36</v>
      </c>
      <c r="N56" t="s">
        <v>36</v>
      </c>
      <c r="O56" t="s">
        <v>36</v>
      </c>
      <c r="P56" t="s">
        <v>39</v>
      </c>
      <c r="Q56" t="s">
        <v>39</v>
      </c>
      <c r="R56" t="s">
        <v>38</v>
      </c>
      <c r="S56" t="s">
        <v>36</v>
      </c>
      <c r="T56" t="s">
        <v>38</v>
      </c>
      <c r="U56" t="s">
        <v>37</v>
      </c>
      <c r="V56" t="s">
        <v>47</v>
      </c>
      <c r="W56" t="s">
        <v>36</v>
      </c>
      <c r="X56" t="s">
        <v>38</v>
      </c>
      <c r="Y56" t="s">
        <v>39</v>
      </c>
      <c r="Z56" t="s">
        <v>37</v>
      </c>
      <c r="AA56" t="s">
        <v>47</v>
      </c>
      <c r="AB56" t="s">
        <v>32</v>
      </c>
      <c r="AC56" t="s">
        <v>57</v>
      </c>
    </row>
    <row r="57" spans="1:29" x14ac:dyDescent="0.2">
      <c r="A57">
        <v>56</v>
      </c>
      <c r="B57" s="1">
        <v>46128.91920138889</v>
      </c>
      <c r="C57" s="1">
        <v>46128.950196759259</v>
      </c>
      <c r="D57" t="s">
        <v>29</v>
      </c>
      <c r="E57" s="2">
        <v>1961</v>
      </c>
      <c r="F57" t="s">
        <v>44</v>
      </c>
      <c r="G57" s="2">
        <v>1984</v>
      </c>
      <c r="H57" t="s">
        <v>45</v>
      </c>
      <c r="I57" t="s">
        <v>32</v>
      </c>
      <c r="J57" t="s">
        <v>32</v>
      </c>
      <c r="K57" t="s">
        <v>34</v>
      </c>
      <c r="L57" t="s">
        <v>70</v>
      </c>
      <c r="M57" t="s">
        <v>39</v>
      </c>
      <c r="N57" t="s">
        <v>38</v>
      </c>
      <c r="O57" t="s">
        <v>38</v>
      </c>
      <c r="P57" t="s">
        <v>38</v>
      </c>
      <c r="Q57" t="s">
        <v>39</v>
      </c>
      <c r="R57" t="s">
        <v>38</v>
      </c>
      <c r="S57" t="s">
        <v>38</v>
      </c>
      <c r="T57" t="s">
        <v>38</v>
      </c>
      <c r="U57" t="s">
        <v>37</v>
      </c>
      <c r="V57" t="s">
        <v>38</v>
      </c>
      <c r="W57" t="s">
        <v>38</v>
      </c>
      <c r="X57" t="s">
        <v>38</v>
      </c>
      <c r="Y57" t="s">
        <v>38</v>
      </c>
      <c r="Z57" t="s">
        <v>38</v>
      </c>
      <c r="AA57" t="s">
        <v>38</v>
      </c>
      <c r="AB57" t="s">
        <v>33</v>
      </c>
      <c r="AC57" t="s">
        <v>40</v>
      </c>
    </row>
    <row r="58" spans="1:29" x14ac:dyDescent="0.2">
      <c r="A58">
        <v>57</v>
      </c>
      <c r="B58" s="1">
        <v>46128.951886574076</v>
      </c>
      <c r="C58" s="1">
        <v>46128.957303240742</v>
      </c>
      <c r="D58" t="s">
        <v>29</v>
      </c>
      <c r="E58" s="2">
        <v>1970</v>
      </c>
      <c r="F58" t="s">
        <v>44</v>
      </c>
      <c r="G58" s="2">
        <v>1994</v>
      </c>
      <c r="H58" t="s">
        <v>45</v>
      </c>
      <c r="I58" t="s">
        <v>32</v>
      </c>
      <c r="J58" t="s">
        <v>32</v>
      </c>
      <c r="K58" t="s">
        <v>42</v>
      </c>
      <c r="L58" t="s">
        <v>62</v>
      </c>
      <c r="M58" t="s">
        <v>39</v>
      </c>
      <c r="N58" t="s">
        <v>37</v>
      </c>
      <c r="O58" t="s">
        <v>37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36</v>
      </c>
      <c r="X58" t="s">
        <v>36</v>
      </c>
      <c r="Y58" t="s">
        <v>37</v>
      </c>
      <c r="Z58" t="s">
        <v>37</v>
      </c>
      <c r="AA58" t="s">
        <v>36</v>
      </c>
      <c r="AB58" t="s">
        <v>33</v>
      </c>
      <c r="AC58" t="s">
        <v>65</v>
      </c>
    </row>
    <row r="59" spans="1:29" x14ac:dyDescent="0.2">
      <c r="A59">
        <v>58</v>
      </c>
      <c r="B59" s="1">
        <v>46128.988043981481</v>
      </c>
      <c r="C59" s="1">
        <v>46128.991585648146</v>
      </c>
      <c r="D59" t="s">
        <v>29</v>
      </c>
      <c r="E59" s="2">
        <v>1970</v>
      </c>
      <c r="F59" t="s">
        <v>44</v>
      </c>
      <c r="G59" s="2">
        <v>1994</v>
      </c>
      <c r="H59" t="s">
        <v>53</v>
      </c>
      <c r="I59" t="s">
        <v>33</v>
      </c>
      <c r="J59" t="s">
        <v>33</v>
      </c>
      <c r="K59" t="s">
        <v>34</v>
      </c>
      <c r="L59" t="s">
        <v>74</v>
      </c>
      <c r="M59" t="s">
        <v>37</v>
      </c>
      <c r="N59" t="s">
        <v>37</v>
      </c>
      <c r="O59" t="s">
        <v>36</v>
      </c>
      <c r="P59" t="s">
        <v>36</v>
      </c>
      <c r="Q59" t="s">
        <v>37</v>
      </c>
      <c r="R59" t="s">
        <v>38</v>
      </c>
      <c r="S59" t="s">
        <v>38</v>
      </c>
      <c r="T59" t="s">
        <v>36</v>
      </c>
      <c r="U59" t="s">
        <v>37</v>
      </c>
      <c r="V59" t="s">
        <v>37</v>
      </c>
      <c r="W59" t="s">
        <v>36</v>
      </c>
      <c r="X59" t="s">
        <v>36</v>
      </c>
      <c r="Y59" t="s">
        <v>37</v>
      </c>
      <c r="Z59" t="s">
        <v>37</v>
      </c>
      <c r="AA59" t="s">
        <v>36</v>
      </c>
      <c r="AB59" t="s">
        <v>33</v>
      </c>
      <c r="AC59" t="s">
        <v>65</v>
      </c>
    </row>
    <row r="60" spans="1:29" x14ac:dyDescent="0.2">
      <c r="A60">
        <v>59</v>
      </c>
      <c r="B60" s="1">
        <v>46128.997800925928</v>
      </c>
      <c r="C60" s="1">
        <v>46129.002372685187</v>
      </c>
      <c r="D60" t="s">
        <v>29</v>
      </c>
      <c r="E60" s="2">
        <v>1964</v>
      </c>
      <c r="F60" t="s">
        <v>30</v>
      </c>
      <c r="G60" s="2">
        <v>1988</v>
      </c>
      <c r="H60" t="s">
        <v>77</v>
      </c>
      <c r="I60" t="s">
        <v>32</v>
      </c>
      <c r="J60" t="s">
        <v>33</v>
      </c>
      <c r="K60" t="s">
        <v>34</v>
      </c>
      <c r="L60" t="s">
        <v>85</v>
      </c>
      <c r="M60" t="s">
        <v>47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32</v>
      </c>
      <c r="AC60" t="s">
        <v>65</v>
      </c>
    </row>
    <row r="61" spans="1:29" x14ac:dyDescent="0.2">
      <c r="A61">
        <v>60</v>
      </c>
      <c r="B61" s="1">
        <v>46129.001076388886</v>
      </c>
      <c r="C61" s="1">
        <v>46129.007488425923</v>
      </c>
      <c r="D61" t="s">
        <v>29</v>
      </c>
      <c r="E61" s="2">
        <v>1962</v>
      </c>
      <c r="F61" t="s">
        <v>44</v>
      </c>
      <c r="G61" s="2">
        <v>1987</v>
      </c>
      <c r="H61" t="s">
        <v>45</v>
      </c>
      <c r="I61" t="s">
        <v>33</v>
      </c>
      <c r="J61" t="s">
        <v>32</v>
      </c>
      <c r="K61" t="s">
        <v>34</v>
      </c>
      <c r="L61" t="s">
        <v>81</v>
      </c>
      <c r="M61" t="s">
        <v>39</v>
      </c>
      <c r="N61" t="s">
        <v>36</v>
      </c>
      <c r="O61" t="s">
        <v>36</v>
      </c>
      <c r="P61" t="s">
        <v>36</v>
      </c>
      <c r="Q61" t="s">
        <v>37</v>
      </c>
      <c r="R61" t="s">
        <v>37</v>
      </c>
      <c r="S61" t="s">
        <v>36</v>
      </c>
      <c r="T61" t="s">
        <v>38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33</v>
      </c>
      <c r="AC61" t="s">
        <v>40</v>
      </c>
    </row>
    <row r="62" spans="1:29" x14ac:dyDescent="0.2">
      <c r="A62">
        <v>61</v>
      </c>
      <c r="B62" s="1">
        <v>46129.03634259259</v>
      </c>
      <c r="C62" s="1">
        <v>46129.042164351849</v>
      </c>
      <c r="D62" t="s">
        <v>29</v>
      </c>
      <c r="E62" s="2">
        <v>1961</v>
      </c>
      <c r="F62" t="s">
        <v>44</v>
      </c>
      <c r="G62" s="2">
        <v>1984</v>
      </c>
      <c r="H62" t="s">
        <v>45</v>
      </c>
      <c r="I62" t="s">
        <v>32</v>
      </c>
      <c r="J62" t="s">
        <v>33</v>
      </c>
      <c r="K62" t="s">
        <v>42</v>
      </c>
      <c r="L62" t="s">
        <v>70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36</v>
      </c>
      <c r="U62" t="s">
        <v>37</v>
      </c>
      <c r="V62" t="s">
        <v>37</v>
      </c>
      <c r="W62" t="s">
        <v>36</v>
      </c>
      <c r="X62" t="s">
        <v>36</v>
      </c>
      <c r="Y62" t="s">
        <v>36</v>
      </c>
      <c r="Z62" t="s">
        <v>37</v>
      </c>
      <c r="AA62" t="s">
        <v>36</v>
      </c>
      <c r="AB62" t="s">
        <v>33</v>
      </c>
      <c r="AC62" t="s">
        <v>40</v>
      </c>
    </row>
    <row r="63" spans="1:29" x14ac:dyDescent="0.2">
      <c r="A63">
        <v>62</v>
      </c>
      <c r="B63" s="1">
        <v>46129.203796296293</v>
      </c>
      <c r="C63" s="1">
        <v>46129.211192129631</v>
      </c>
      <c r="D63" t="s">
        <v>29</v>
      </c>
      <c r="E63" s="2">
        <v>1962</v>
      </c>
      <c r="F63" t="s">
        <v>44</v>
      </c>
      <c r="G63" s="2">
        <v>1988</v>
      </c>
      <c r="H63" t="s">
        <v>86</v>
      </c>
      <c r="I63" t="s">
        <v>32</v>
      </c>
      <c r="J63" t="s">
        <v>33</v>
      </c>
      <c r="K63" t="s">
        <v>34</v>
      </c>
      <c r="L63" t="s">
        <v>79</v>
      </c>
      <c r="M63" t="s">
        <v>39</v>
      </c>
      <c r="N63" t="s">
        <v>37</v>
      </c>
      <c r="O63" t="s">
        <v>37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36</v>
      </c>
      <c r="Y63" t="s">
        <v>37</v>
      </c>
      <c r="Z63" t="s">
        <v>39</v>
      </c>
      <c r="AA63" t="s">
        <v>37</v>
      </c>
      <c r="AB63" t="s">
        <v>32</v>
      </c>
      <c r="AC63" t="s">
        <v>87</v>
      </c>
    </row>
    <row r="64" spans="1:29" x14ac:dyDescent="0.2">
      <c r="A64">
        <v>63</v>
      </c>
      <c r="B64" s="1">
        <v>46129.350590277776</v>
      </c>
      <c r="C64" s="1">
        <v>46129.353043981479</v>
      </c>
      <c r="D64" t="s">
        <v>29</v>
      </c>
      <c r="E64" s="2">
        <v>1965</v>
      </c>
      <c r="F64" t="s">
        <v>44</v>
      </c>
      <c r="G64" s="2">
        <v>1988</v>
      </c>
      <c r="H64" t="s">
        <v>45</v>
      </c>
      <c r="I64" t="s">
        <v>32</v>
      </c>
      <c r="J64" t="s">
        <v>32</v>
      </c>
      <c r="K64" t="s">
        <v>34</v>
      </c>
      <c r="L64" t="s">
        <v>43</v>
      </c>
      <c r="M64" t="s">
        <v>37</v>
      </c>
      <c r="N64" t="s">
        <v>36</v>
      </c>
      <c r="O64" t="s">
        <v>36</v>
      </c>
      <c r="P64" t="s">
        <v>36</v>
      </c>
      <c r="Q64" t="s">
        <v>37</v>
      </c>
      <c r="R64" t="s">
        <v>37</v>
      </c>
      <c r="S64" t="s">
        <v>37</v>
      </c>
      <c r="T64" t="s">
        <v>37</v>
      </c>
      <c r="U64" t="s">
        <v>36</v>
      </c>
      <c r="V64" t="s">
        <v>36</v>
      </c>
      <c r="W64" t="s">
        <v>36</v>
      </c>
      <c r="X64" t="s">
        <v>36</v>
      </c>
      <c r="Y64" t="s">
        <v>37</v>
      </c>
      <c r="Z64" t="s">
        <v>38</v>
      </c>
      <c r="AA64" t="s">
        <v>36</v>
      </c>
      <c r="AB64" t="s">
        <v>33</v>
      </c>
      <c r="AC64" t="s">
        <v>65</v>
      </c>
    </row>
    <row r="65" spans="1:29" x14ac:dyDescent="0.2">
      <c r="A65">
        <v>64</v>
      </c>
      <c r="B65" s="1">
        <v>46129.426944444444</v>
      </c>
      <c r="C65" s="1">
        <v>46129.430023148147</v>
      </c>
      <c r="D65" t="s">
        <v>29</v>
      </c>
      <c r="E65" s="2">
        <v>1962</v>
      </c>
      <c r="F65" t="s">
        <v>44</v>
      </c>
      <c r="G65" s="2">
        <v>1987</v>
      </c>
      <c r="H65" t="s">
        <v>88</v>
      </c>
      <c r="I65" t="s">
        <v>32</v>
      </c>
      <c r="J65" t="s">
        <v>33</v>
      </c>
      <c r="K65" t="s">
        <v>42</v>
      </c>
      <c r="L65" t="s">
        <v>72</v>
      </c>
      <c r="M65" t="s">
        <v>39</v>
      </c>
      <c r="N65" t="s">
        <v>36</v>
      </c>
      <c r="O65" t="s">
        <v>36</v>
      </c>
      <c r="P65" t="s">
        <v>37</v>
      </c>
      <c r="Q65" t="s">
        <v>37</v>
      </c>
      <c r="R65" t="s">
        <v>37</v>
      </c>
      <c r="S65" t="s">
        <v>36</v>
      </c>
      <c r="T65" t="s">
        <v>38</v>
      </c>
      <c r="U65" t="s">
        <v>38</v>
      </c>
      <c r="V65" t="s">
        <v>36</v>
      </c>
      <c r="W65" t="s">
        <v>38</v>
      </c>
      <c r="X65" t="s">
        <v>36</v>
      </c>
      <c r="Y65" t="s">
        <v>36</v>
      </c>
      <c r="Z65" t="s">
        <v>39</v>
      </c>
      <c r="AA65" t="s">
        <v>38</v>
      </c>
      <c r="AB65" t="s">
        <v>32</v>
      </c>
      <c r="AC65" t="s">
        <v>52</v>
      </c>
    </row>
    <row r="66" spans="1:29" x14ac:dyDescent="0.2">
      <c r="A66">
        <v>65</v>
      </c>
      <c r="B66" s="1">
        <v>46129.504155092596</v>
      </c>
      <c r="C66" s="1">
        <v>46129.510277777779</v>
      </c>
      <c r="D66" t="s">
        <v>29</v>
      </c>
      <c r="E66" s="2">
        <v>1964</v>
      </c>
      <c r="F66" t="s">
        <v>44</v>
      </c>
      <c r="G66" s="2">
        <v>1999</v>
      </c>
      <c r="H66" t="s">
        <v>50</v>
      </c>
      <c r="I66" t="s">
        <v>32</v>
      </c>
      <c r="J66" t="s">
        <v>33</v>
      </c>
      <c r="K66" t="s">
        <v>42</v>
      </c>
      <c r="L66" t="s">
        <v>72</v>
      </c>
      <c r="M66" t="s">
        <v>38</v>
      </c>
      <c r="N66" t="s">
        <v>38</v>
      </c>
      <c r="O66" t="s">
        <v>38</v>
      </c>
      <c r="P66" t="s">
        <v>37</v>
      </c>
      <c r="Q66" t="s">
        <v>37</v>
      </c>
      <c r="R66" t="s">
        <v>38</v>
      </c>
      <c r="S66" t="s">
        <v>38</v>
      </c>
      <c r="T66" t="s">
        <v>38</v>
      </c>
      <c r="U66" t="s">
        <v>37</v>
      </c>
      <c r="V66" t="s">
        <v>38</v>
      </c>
      <c r="W66" t="s">
        <v>38</v>
      </c>
      <c r="X66" t="s">
        <v>38</v>
      </c>
      <c r="Y66" t="s">
        <v>38</v>
      </c>
      <c r="Z66" t="s">
        <v>37</v>
      </c>
      <c r="AA66" t="s">
        <v>38</v>
      </c>
      <c r="AB66" t="s">
        <v>32</v>
      </c>
      <c r="AC66" t="s">
        <v>52</v>
      </c>
    </row>
    <row r="67" spans="1:29" x14ac:dyDescent="0.2">
      <c r="A67">
        <v>66</v>
      </c>
      <c r="B67" s="1">
        <v>46129.51390046296</v>
      </c>
      <c r="C67" s="1">
        <v>46129.515879629631</v>
      </c>
      <c r="D67" t="s">
        <v>29</v>
      </c>
      <c r="E67" s="2">
        <v>1969</v>
      </c>
      <c r="F67" t="s">
        <v>44</v>
      </c>
      <c r="G67" s="2">
        <v>1992</v>
      </c>
      <c r="H67" t="s">
        <v>89</v>
      </c>
      <c r="I67" t="s">
        <v>32</v>
      </c>
      <c r="J67" t="s">
        <v>33</v>
      </c>
      <c r="K67" t="s">
        <v>42</v>
      </c>
      <c r="L67" t="s">
        <v>62</v>
      </c>
      <c r="M67" t="s">
        <v>37</v>
      </c>
      <c r="N67" t="s">
        <v>37</v>
      </c>
      <c r="O67" t="s">
        <v>36</v>
      </c>
      <c r="P67" t="s">
        <v>36</v>
      </c>
      <c r="Q67" t="s">
        <v>39</v>
      </c>
      <c r="R67" t="s">
        <v>37</v>
      </c>
      <c r="S67" t="s">
        <v>38</v>
      </c>
      <c r="T67" t="s">
        <v>39</v>
      </c>
      <c r="U67" t="s">
        <v>39</v>
      </c>
      <c r="V67" t="s">
        <v>36</v>
      </c>
      <c r="W67" t="s">
        <v>36</v>
      </c>
      <c r="X67" t="s">
        <v>38</v>
      </c>
      <c r="Y67" t="s">
        <v>37</v>
      </c>
      <c r="Z67" t="s">
        <v>37</v>
      </c>
      <c r="AA67" t="s">
        <v>47</v>
      </c>
      <c r="AB67" t="s">
        <v>33</v>
      </c>
      <c r="AC67" t="s">
        <v>40</v>
      </c>
    </row>
    <row r="68" spans="1:29" x14ac:dyDescent="0.2">
      <c r="A68">
        <v>67</v>
      </c>
      <c r="B68" s="1">
        <v>46129.526319444441</v>
      </c>
      <c r="C68" s="1">
        <v>46129.530729166669</v>
      </c>
      <c r="D68" t="s">
        <v>29</v>
      </c>
      <c r="E68" s="2">
        <v>1965</v>
      </c>
      <c r="F68" t="s">
        <v>44</v>
      </c>
      <c r="G68" s="2">
        <v>1997</v>
      </c>
      <c r="H68" t="s">
        <v>50</v>
      </c>
      <c r="I68" t="s">
        <v>32</v>
      </c>
      <c r="J68" t="s">
        <v>33</v>
      </c>
      <c r="K68" t="s">
        <v>42</v>
      </c>
      <c r="L68" t="s">
        <v>72</v>
      </c>
      <c r="M68" t="s">
        <v>38</v>
      </c>
      <c r="N68" t="s">
        <v>38</v>
      </c>
      <c r="O68" t="s">
        <v>37</v>
      </c>
      <c r="P68" t="s">
        <v>37</v>
      </c>
      <c r="Q68" t="s">
        <v>39</v>
      </c>
      <c r="R68" t="s">
        <v>38</v>
      </c>
      <c r="S68" t="s">
        <v>38</v>
      </c>
      <c r="T68" t="s">
        <v>38</v>
      </c>
      <c r="U68" t="s">
        <v>37</v>
      </c>
      <c r="V68" t="s">
        <v>38</v>
      </c>
      <c r="W68" t="s">
        <v>38</v>
      </c>
      <c r="X68" t="s">
        <v>38</v>
      </c>
      <c r="Y68" t="s">
        <v>38</v>
      </c>
      <c r="Z68" t="s">
        <v>37</v>
      </c>
      <c r="AA68" t="s">
        <v>38</v>
      </c>
      <c r="AB68" t="s">
        <v>32</v>
      </c>
      <c r="AC68" t="s">
        <v>52</v>
      </c>
    </row>
    <row r="69" spans="1:29" x14ac:dyDescent="0.2">
      <c r="A69">
        <v>68</v>
      </c>
      <c r="B69" s="1">
        <v>46129.53261574074</v>
      </c>
      <c r="C69" s="1">
        <v>46129.534548611111</v>
      </c>
      <c r="D69" t="s">
        <v>29</v>
      </c>
      <c r="E69" s="2">
        <v>1965</v>
      </c>
      <c r="F69" t="s">
        <v>44</v>
      </c>
      <c r="G69" s="2">
        <v>1997</v>
      </c>
      <c r="H69" t="s">
        <v>50</v>
      </c>
      <c r="I69" t="s">
        <v>32</v>
      </c>
      <c r="J69" t="s">
        <v>33</v>
      </c>
      <c r="K69" t="s">
        <v>42</v>
      </c>
      <c r="L69" t="s">
        <v>72</v>
      </c>
      <c r="M69" t="s">
        <v>38</v>
      </c>
      <c r="N69" t="s">
        <v>38</v>
      </c>
      <c r="O69" t="s">
        <v>37</v>
      </c>
      <c r="P69" t="s">
        <v>37</v>
      </c>
      <c r="Q69" t="s">
        <v>37</v>
      </c>
      <c r="R69" t="s">
        <v>38</v>
      </c>
      <c r="S69" t="s">
        <v>38</v>
      </c>
      <c r="T69" t="s">
        <v>38</v>
      </c>
      <c r="U69" t="s">
        <v>37</v>
      </c>
      <c r="V69" t="s">
        <v>38</v>
      </c>
      <c r="W69" t="s">
        <v>38</v>
      </c>
      <c r="X69" t="s">
        <v>38</v>
      </c>
      <c r="Y69" t="s">
        <v>38</v>
      </c>
      <c r="Z69" t="s">
        <v>37</v>
      </c>
      <c r="AA69" t="s">
        <v>38</v>
      </c>
      <c r="AB69" t="s">
        <v>33</v>
      </c>
      <c r="AC69" t="s">
        <v>40</v>
      </c>
    </row>
    <row r="70" spans="1:29" x14ac:dyDescent="0.2">
      <c r="A70">
        <v>69</v>
      </c>
      <c r="B70" s="1">
        <v>46129.568819444445</v>
      </c>
      <c r="C70" s="1">
        <v>46129.570324074077</v>
      </c>
      <c r="D70" t="s">
        <v>29</v>
      </c>
      <c r="E70" s="2">
        <v>1988</v>
      </c>
      <c r="F70" t="s">
        <v>30</v>
      </c>
      <c r="G70" s="2">
        <v>2012</v>
      </c>
      <c r="H70" t="s">
        <v>58</v>
      </c>
      <c r="I70" t="s">
        <v>33</v>
      </c>
      <c r="J70" t="s">
        <v>33</v>
      </c>
      <c r="K70" t="s">
        <v>42</v>
      </c>
      <c r="L70" t="s">
        <v>56</v>
      </c>
      <c r="M70" t="s">
        <v>47</v>
      </c>
      <c r="N70" t="s">
        <v>47</v>
      </c>
      <c r="O70" t="s">
        <v>47</v>
      </c>
      <c r="P70" t="s">
        <v>37</v>
      </c>
      <c r="Q70" t="s">
        <v>39</v>
      </c>
      <c r="R70" t="s">
        <v>47</v>
      </c>
      <c r="S70" t="s">
        <v>47</v>
      </c>
      <c r="T70" t="s">
        <v>47</v>
      </c>
      <c r="U70" t="s">
        <v>39</v>
      </c>
      <c r="V70" t="s">
        <v>47</v>
      </c>
      <c r="W70" t="s">
        <v>47</v>
      </c>
      <c r="X70" t="s">
        <v>47</v>
      </c>
      <c r="Y70" t="s">
        <v>37</v>
      </c>
      <c r="Z70" t="s">
        <v>38</v>
      </c>
      <c r="AA70" t="s">
        <v>47</v>
      </c>
      <c r="AB70" t="s">
        <v>33</v>
      </c>
      <c r="AC70" t="s">
        <v>90</v>
      </c>
    </row>
    <row r="71" spans="1:29" x14ac:dyDescent="0.2">
      <c r="A71">
        <v>70</v>
      </c>
      <c r="B71" s="1">
        <v>46129.465497685182</v>
      </c>
      <c r="C71" s="1">
        <v>46129.590046296296</v>
      </c>
      <c r="D71" t="s">
        <v>29</v>
      </c>
      <c r="E71" s="2">
        <v>1966</v>
      </c>
      <c r="F71" t="s">
        <v>44</v>
      </c>
      <c r="G71" s="2">
        <v>1988</v>
      </c>
      <c r="H71" t="s">
        <v>50</v>
      </c>
      <c r="I71" t="s">
        <v>32</v>
      </c>
      <c r="J71" t="s">
        <v>33</v>
      </c>
      <c r="K71" t="s">
        <v>34</v>
      </c>
      <c r="L71" t="s">
        <v>72</v>
      </c>
      <c r="M71" t="s">
        <v>37</v>
      </c>
      <c r="N71" t="s">
        <v>37</v>
      </c>
      <c r="O71" t="s">
        <v>37</v>
      </c>
      <c r="P71" t="s">
        <v>39</v>
      </c>
      <c r="Q71" t="s">
        <v>39</v>
      </c>
      <c r="R71" t="s">
        <v>36</v>
      </c>
      <c r="S71" t="s">
        <v>37</v>
      </c>
      <c r="T71" t="s">
        <v>37</v>
      </c>
      <c r="U71" t="s">
        <v>37</v>
      </c>
      <c r="V71" t="s">
        <v>37</v>
      </c>
      <c r="W71" t="s">
        <v>36</v>
      </c>
      <c r="X71" t="s">
        <v>37</v>
      </c>
      <c r="Y71" t="s">
        <v>37</v>
      </c>
      <c r="Z71" t="s">
        <v>37</v>
      </c>
      <c r="AA71" t="s">
        <v>37</v>
      </c>
      <c r="AB71" t="s">
        <v>32</v>
      </c>
      <c r="AC71" t="s">
        <v>40</v>
      </c>
    </row>
    <row r="72" spans="1:29" x14ac:dyDescent="0.2">
      <c r="A72">
        <v>71</v>
      </c>
      <c r="B72" s="1">
        <v>46129.857893518521</v>
      </c>
      <c r="C72" s="1">
        <v>46129.864027777781</v>
      </c>
      <c r="D72" t="s">
        <v>29</v>
      </c>
      <c r="E72" s="2">
        <v>1965</v>
      </c>
      <c r="F72" t="s">
        <v>44</v>
      </c>
      <c r="G72" s="2">
        <v>1988</v>
      </c>
      <c r="H72" t="s">
        <v>31</v>
      </c>
      <c r="I72" t="s">
        <v>32</v>
      </c>
      <c r="J72" t="s">
        <v>33</v>
      </c>
      <c r="K72" t="s">
        <v>42</v>
      </c>
      <c r="L72" t="s">
        <v>70</v>
      </c>
      <c r="M72" t="s">
        <v>47</v>
      </c>
      <c r="N72" t="s">
        <v>47</v>
      </c>
      <c r="O72" t="s">
        <v>47</v>
      </c>
      <c r="P72" t="s">
        <v>47</v>
      </c>
      <c r="Q72" t="s">
        <v>39</v>
      </c>
      <c r="R72" t="s">
        <v>47</v>
      </c>
      <c r="S72" t="s">
        <v>47</v>
      </c>
      <c r="T72" t="s">
        <v>47</v>
      </c>
      <c r="U72" t="s">
        <v>39</v>
      </c>
      <c r="V72" t="s">
        <v>47</v>
      </c>
      <c r="W72" t="s">
        <v>47</v>
      </c>
      <c r="X72" t="s">
        <v>47</v>
      </c>
      <c r="Y72" t="s">
        <v>38</v>
      </c>
      <c r="Z72" t="s">
        <v>38</v>
      </c>
      <c r="AA72" t="s">
        <v>47</v>
      </c>
      <c r="AB72" t="s">
        <v>32</v>
      </c>
      <c r="AC72" t="s">
        <v>40</v>
      </c>
    </row>
    <row r="73" spans="1:29" x14ac:dyDescent="0.2">
      <c r="A73">
        <v>72</v>
      </c>
      <c r="B73" s="1">
        <v>46132.456076388888</v>
      </c>
      <c r="C73" s="1">
        <v>46132.457280092596</v>
      </c>
      <c r="D73" t="s">
        <v>29</v>
      </c>
      <c r="E73" s="2">
        <v>1990</v>
      </c>
      <c r="F73" t="s">
        <v>44</v>
      </c>
      <c r="G73" s="2">
        <v>2014</v>
      </c>
      <c r="H73" t="s">
        <v>77</v>
      </c>
      <c r="I73" t="s">
        <v>32</v>
      </c>
      <c r="J73" t="s">
        <v>33</v>
      </c>
      <c r="K73" t="s">
        <v>66</v>
      </c>
      <c r="L73" t="s">
        <v>46</v>
      </c>
      <c r="M73" t="s">
        <v>47</v>
      </c>
      <c r="N73" t="s">
        <v>47</v>
      </c>
      <c r="O73" t="s">
        <v>47</v>
      </c>
      <c r="P73" t="s">
        <v>37</v>
      </c>
      <c r="Q73" t="s">
        <v>39</v>
      </c>
      <c r="R73" t="s">
        <v>38</v>
      </c>
      <c r="S73" t="s">
        <v>47</v>
      </c>
      <c r="T73" t="s">
        <v>38</v>
      </c>
      <c r="U73" t="s">
        <v>39</v>
      </c>
      <c r="V73" t="s">
        <v>47</v>
      </c>
      <c r="W73" t="s">
        <v>47</v>
      </c>
      <c r="X73" t="s">
        <v>47</v>
      </c>
      <c r="Y73" t="s">
        <v>39</v>
      </c>
      <c r="Z73" t="s">
        <v>37</v>
      </c>
      <c r="AA73" t="s">
        <v>47</v>
      </c>
      <c r="AB73" t="s">
        <v>33</v>
      </c>
      <c r="AC73" t="s">
        <v>82</v>
      </c>
    </row>
    <row r="74" spans="1:29" x14ac:dyDescent="0.2">
      <c r="A74">
        <v>73</v>
      </c>
      <c r="B74" s="1">
        <v>46141.752766203703</v>
      </c>
      <c r="C74" s="1">
        <v>46141.766041666669</v>
      </c>
      <c r="D74" t="s">
        <v>29</v>
      </c>
      <c r="E74" s="2">
        <v>1967</v>
      </c>
      <c r="F74" t="s">
        <v>44</v>
      </c>
      <c r="G74" s="2">
        <v>1990</v>
      </c>
      <c r="H74" t="s">
        <v>89</v>
      </c>
      <c r="I74" t="s">
        <v>32</v>
      </c>
      <c r="J74" t="s">
        <v>33</v>
      </c>
      <c r="K74" t="s">
        <v>42</v>
      </c>
      <c r="L74" t="s">
        <v>91</v>
      </c>
      <c r="M74" t="s">
        <v>47</v>
      </c>
      <c r="N74" t="s">
        <v>47</v>
      </c>
      <c r="O74" t="s">
        <v>47</v>
      </c>
      <c r="P74" t="s">
        <v>47</v>
      </c>
      <c r="Q74" t="s">
        <v>39</v>
      </c>
      <c r="R74" t="s">
        <v>36</v>
      </c>
      <c r="S74" t="s">
        <v>36</v>
      </c>
      <c r="T74" t="s">
        <v>47</v>
      </c>
      <c r="U74" t="s">
        <v>38</v>
      </c>
      <c r="V74" t="s">
        <v>47</v>
      </c>
      <c r="W74" t="s">
        <v>38</v>
      </c>
      <c r="X74" t="s">
        <v>38</v>
      </c>
      <c r="Y74" t="s">
        <v>36</v>
      </c>
      <c r="Z74" t="s">
        <v>38</v>
      </c>
      <c r="AA74" t="s">
        <v>38</v>
      </c>
      <c r="AB74" t="s">
        <v>33</v>
      </c>
      <c r="AC74" t="s">
        <v>40</v>
      </c>
    </row>
    <row r="75" spans="1:29" x14ac:dyDescent="0.2">
      <c r="A75">
        <v>74</v>
      </c>
      <c r="B75" s="1">
        <v>46144.563831018517</v>
      </c>
      <c r="C75" s="1">
        <v>46144.565648148149</v>
      </c>
      <c r="D75" t="s">
        <v>29</v>
      </c>
      <c r="E75" s="2">
        <v>1996</v>
      </c>
      <c r="F75" t="s">
        <v>30</v>
      </c>
      <c r="G75" s="2">
        <v>2020</v>
      </c>
      <c r="H75" t="s">
        <v>50</v>
      </c>
      <c r="I75" t="s">
        <v>32</v>
      </c>
      <c r="J75" t="s">
        <v>32</v>
      </c>
      <c r="K75" t="s">
        <v>34</v>
      </c>
      <c r="L75" t="s">
        <v>43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33</v>
      </c>
      <c r="AC75" t="s">
        <v>82</v>
      </c>
    </row>
    <row r="76" spans="1:29" x14ac:dyDescent="0.2">
      <c r="A76">
        <v>75</v>
      </c>
      <c r="B76" s="1">
        <v>46144.737060185187</v>
      </c>
      <c r="C76" s="1">
        <v>46144.738344907404</v>
      </c>
      <c r="D76" t="s">
        <v>29</v>
      </c>
      <c r="E76" s="2">
        <v>1990</v>
      </c>
      <c r="F76" t="s">
        <v>30</v>
      </c>
      <c r="G76" s="2">
        <v>2014</v>
      </c>
      <c r="H76" t="s">
        <v>50</v>
      </c>
      <c r="I76" t="s">
        <v>32</v>
      </c>
      <c r="J76" t="s">
        <v>33</v>
      </c>
      <c r="K76" t="s">
        <v>66</v>
      </c>
      <c r="L76" t="s">
        <v>84</v>
      </c>
      <c r="M76" t="s">
        <v>38</v>
      </c>
      <c r="N76" t="s">
        <v>37</v>
      </c>
      <c r="O76" t="s">
        <v>37</v>
      </c>
      <c r="P76" t="s">
        <v>37</v>
      </c>
      <c r="Q76" t="s">
        <v>39</v>
      </c>
      <c r="R76" t="s">
        <v>38</v>
      </c>
      <c r="S76" t="s">
        <v>47</v>
      </c>
      <c r="T76" t="s">
        <v>38</v>
      </c>
      <c r="U76" t="s">
        <v>39</v>
      </c>
      <c r="V76" t="s">
        <v>47</v>
      </c>
      <c r="W76" t="s">
        <v>37</v>
      </c>
      <c r="X76" t="s">
        <v>47</v>
      </c>
      <c r="Y76" t="s">
        <v>39</v>
      </c>
      <c r="Z76" t="s">
        <v>37</v>
      </c>
      <c r="AA76" t="s">
        <v>47</v>
      </c>
      <c r="AB76" t="s">
        <v>33</v>
      </c>
      <c r="AC76" t="s">
        <v>82</v>
      </c>
    </row>
    <row r="77" spans="1:29" x14ac:dyDescent="0.2">
      <c r="A77">
        <v>76</v>
      </c>
      <c r="B77" s="1">
        <v>46144.803298611114</v>
      </c>
      <c r="C77" s="1">
        <v>46144.805081018516</v>
      </c>
      <c r="D77" t="s">
        <v>29</v>
      </c>
      <c r="E77" s="2">
        <v>1992</v>
      </c>
      <c r="F77" t="s">
        <v>44</v>
      </c>
      <c r="G77" s="2">
        <v>2016</v>
      </c>
      <c r="H77" t="s">
        <v>75</v>
      </c>
      <c r="I77" t="s">
        <v>32</v>
      </c>
      <c r="J77" t="s">
        <v>33</v>
      </c>
      <c r="K77" t="s">
        <v>66</v>
      </c>
      <c r="L77" t="s">
        <v>84</v>
      </c>
      <c r="M77" t="s">
        <v>47</v>
      </c>
      <c r="N77" t="s">
        <v>47</v>
      </c>
      <c r="O77" t="s">
        <v>47</v>
      </c>
      <c r="P77" t="s">
        <v>39</v>
      </c>
      <c r="Q77" t="s">
        <v>39</v>
      </c>
      <c r="R77" t="s">
        <v>36</v>
      </c>
      <c r="S77" t="s">
        <v>47</v>
      </c>
      <c r="T77" t="s">
        <v>38</v>
      </c>
      <c r="U77" t="s">
        <v>39</v>
      </c>
      <c r="V77" t="s">
        <v>47</v>
      </c>
      <c r="W77" t="s">
        <v>47</v>
      </c>
      <c r="X77" t="s">
        <v>47</v>
      </c>
      <c r="Y77" t="s">
        <v>37</v>
      </c>
      <c r="Z77" t="s">
        <v>37</v>
      </c>
      <c r="AA77" t="s">
        <v>47</v>
      </c>
      <c r="AB77" t="s">
        <v>32</v>
      </c>
      <c r="AC77" t="s">
        <v>82</v>
      </c>
    </row>
    <row r="78" spans="1:29" x14ac:dyDescent="0.2">
      <c r="A78">
        <v>77</v>
      </c>
      <c r="B78" s="1">
        <v>46147.565405092595</v>
      </c>
      <c r="C78" s="1">
        <v>46147.595995370371</v>
      </c>
      <c r="D78" t="s">
        <v>29</v>
      </c>
      <c r="E78" s="2">
        <v>1993</v>
      </c>
      <c r="F78" t="s">
        <v>30</v>
      </c>
      <c r="G78" s="2">
        <v>2017</v>
      </c>
      <c r="H78" t="s">
        <v>92</v>
      </c>
      <c r="I78" t="s">
        <v>33</v>
      </c>
      <c r="J78" t="s">
        <v>33</v>
      </c>
      <c r="K78" t="s">
        <v>34</v>
      </c>
      <c r="L78" t="s">
        <v>51</v>
      </c>
      <c r="M78" t="s">
        <v>38</v>
      </c>
      <c r="N78" t="s">
        <v>38</v>
      </c>
      <c r="O78" t="s">
        <v>36</v>
      </c>
      <c r="P78" t="s">
        <v>37</v>
      </c>
      <c r="Q78" t="s">
        <v>39</v>
      </c>
      <c r="R78" t="s">
        <v>38</v>
      </c>
      <c r="S78" t="s">
        <v>38</v>
      </c>
      <c r="T78" t="s">
        <v>38</v>
      </c>
      <c r="U78" t="s">
        <v>39</v>
      </c>
      <c r="V78" t="s">
        <v>38</v>
      </c>
      <c r="W78" t="s">
        <v>36</v>
      </c>
      <c r="X78" t="s">
        <v>36</v>
      </c>
      <c r="Y78" t="s">
        <v>38</v>
      </c>
      <c r="Z78" t="s">
        <v>38</v>
      </c>
      <c r="AA78" t="s">
        <v>38</v>
      </c>
      <c r="AB78" t="s">
        <v>33</v>
      </c>
      <c r="AC78" t="s">
        <v>73</v>
      </c>
    </row>
    <row r="79" spans="1:29" x14ac:dyDescent="0.2">
      <c r="A79">
        <v>78</v>
      </c>
      <c r="B79" s="1">
        <v>46150.517789351848</v>
      </c>
      <c r="C79" s="1">
        <v>46150.522106481483</v>
      </c>
      <c r="D79" t="s">
        <v>29</v>
      </c>
      <c r="E79" s="2">
        <v>1982</v>
      </c>
      <c r="F79" t="s">
        <v>30</v>
      </c>
      <c r="G79" s="2">
        <v>2006</v>
      </c>
      <c r="H79" t="s">
        <v>45</v>
      </c>
      <c r="I79" t="s">
        <v>33</v>
      </c>
      <c r="J79" t="s">
        <v>33</v>
      </c>
      <c r="K79" t="s">
        <v>66</v>
      </c>
      <c r="L79" t="s">
        <v>64</v>
      </c>
      <c r="M79" t="s">
        <v>38</v>
      </c>
      <c r="N79" t="s">
        <v>38</v>
      </c>
      <c r="O79" t="s">
        <v>37</v>
      </c>
      <c r="P79" t="s">
        <v>37</v>
      </c>
      <c r="Q79" t="s">
        <v>39</v>
      </c>
      <c r="R79" t="s">
        <v>38</v>
      </c>
      <c r="S79" t="s">
        <v>38</v>
      </c>
      <c r="T79" t="s">
        <v>38</v>
      </c>
      <c r="U79" t="s">
        <v>37</v>
      </c>
      <c r="V79" t="s">
        <v>36</v>
      </c>
      <c r="W79" t="s">
        <v>36</v>
      </c>
      <c r="X79" t="s">
        <v>37</v>
      </c>
      <c r="Y79" t="s">
        <v>38</v>
      </c>
      <c r="Z79" t="s">
        <v>37</v>
      </c>
      <c r="AA79" t="s">
        <v>38</v>
      </c>
      <c r="AB79" t="s">
        <v>33</v>
      </c>
      <c r="AC79" t="s">
        <v>40</v>
      </c>
    </row>
    <row r="80" spans="1:29" x14ac:dyDescent="0.2">
      <c r="A80">
        <v>79</v>
      </c>
      <c r="B80" s="1">
        <v>46152.924259259256</v>
      </c>
      <c r="C80" s="1">
        <v>46152.926469907405</v>
      </c>
      <c r="D80" t="s">
        <v>29</v>
      </c>
      <c r="E80" s="2">
        <v>1996</v>
      </c>
      <c r="F80" t="s">
        <v>44</v>
      </c>
      <c r="G80" s="2">
        <v>2020</v>
      </c>
      <c r="H80" t="s">
        <v>50</v>
      </c>
      <c r="I80" t="s">
        <v>32</v>
      </c>
      <c r="J80" t="s">
        <v>33</v>
      </c>
      <c r="K80" t="s">
        <v>34</v>
      </c>
      <c r="L80" t="s">
        <v>84</v>
      </c>
      <c r="M80" t="s">
        <v>47</v>
      </c>
      <c r="N80" t="s">
        <v>37</v>
      </c>
      <c r="O80" t="s">
        <v>47</v>
      </c>
      <c r="P80" t="s">
        <v>39</v>
      </c>
      <c r="Q80" t="s">
        <v>39</v>
      </c>
      <c r="R80" t="s">
        <v>36</v>
      </c>
      <c r="S80" t="s">
        <v>38</v>
      </c>
      <c r="T80" t="s">
        <v>38</v>
      </c>
      <c r="U80" t="s">
        <v>37</v>
      </c>
      <c r="V80" t="s">
        <v>47</v>
      </c>
      <c r="W80" t="s">
        <v>38</v>
      </c>
      <c r="X80" t="s">
        <v>38</v>
      </c>
      <c r="Y80" t="s">
        <v>39</v>
      </c>
      <c r="Z80" t="s">
        <v>39</v>
      </c>
      <c r="AA80" t="s">
        <v>47</v>
      </c>
      <c r="AB80" t="s">
        <v>32</v>
      </c>
      <c r="AC80" t="s">
        <v>57</v>
      </c>
    </row>
    <row r="81" spans="1:29" x14ac:dyDescent="0.2">
      <c r="A81">
        <v>80</v>
      </c>
      <c r="B81" s="1">
        <v>46152.926689814813</v>
      </c>
      <c r="C81" s="1">
        <v>46152.927523148152</v>
      </c>
      <c r="D81" t="s">
        <v>29</v>
      </c>
      <c r="E81" s="2">
        <v>1995</v>
      </c>
      <c r="F81" t="s">
        <v>30</v>
      </c>
      <c r="G81" s="2">
        <v>2019</v>
      </c>
      <c r="H81" t="s">
        <v>50</v>
      </c>
      <c r="I81" t="s">
        <v>32</v>
      </c>
      <c r="J81" t="s">
        <v>33</v>
      </c>
      <c r="K81" t="s">
        <v>66</v>
      </c>
      <c r="L81" t="s">
        <v>64</v>
      </c>
      <c r="M81" t="s">
        <v>47</v>
      </c>
      <c r="N81" t="s">
        <v>37</v>
      </c>
      <c r="O81" t="s">
        <v>47</v>
      </c>
      <c r="P81" t="s">
        <v>39</v>
      </c>
      <c r="Q81" t="s">
        <v>39</v>
      </c>
      <c r="R81" t="s">
        <v>36</v>
      </c>
      <c r="S81" t="s">
        <v>47</v>
      </c>
      <c r="T81" t="s">
        <v>36</v>
      </c>
      <c r="U81" t="s">
        <v>39</v>
      </c>
      <c r="V81" t="s">
        <v>38</v>
      </c>
      <c r="W81" t="s">
        <v>36</v>
      </c>
      <c r="X81" t="s">
        <v>36</v>
      </c>
      <c r="Y81" t="s">
        <v>39</v>
      </c>
      <c r="Z81" t="s">
        <v>39</v>
      </c>
      <c r="AA81" t="s">
        <v>47</v>
      </c>
      <c r="AB81" t="s">
        <v>33</v>
      </c>
      <c r="AC81" t="s">
        <v>82</v>
      </c>
    </row>
    <row r="82" spans="1:29" x14ac:dyDescent="0.2">
      <c r="A82">
        <v>81</v>
      </c>
      <c r="B82" s="1">
        <v>46156.541122685187</v>
      </c>
      <c r="C82" s="1">
        <v>46156.543657407405</v>
      </c>
      <c r="D82" t="s">
        <v>29</v>
      </c>
      <c r="E82" s="2">
        <v>1970</v>
      </c>
      <c r="F82" t="s">
        <v>44</v>
      </c>
      <c r="G82" s="2">
        <v>1970</v>
      </c>
      <c r="H82" t="s">
        <v>31</v>
      </c>
      <c r="I82" t="s">
        <v>33</v>
      </c>
      <c r="J82" t="s">
        <v>33</v>
      </c>
      <c r="K82" t="s">
        <v>42</v>
      </c>
      <c r="L82" t="s">
        <v>62</v>
      </c>
      <c r="M82" t="s">
        <v>37</v>
      </c>
      <c r="N82" t="s">
        <v>37</v>
      </c>
      <c r="O82" t="s">
        <v>36</v>
      </c>
      <c r="P82" t="s">
        <v>37</v>
      </c>
      <c r="Q82" t="s">
        <v>37</v>
      </c>
      <c r="R82" t="s">
        <v>38</v>
      </c>
      <c r="S82" t="s">
        <v>38</v>
      </c>
      <c r="T82" t="s">
        <v>36</v>
      </c>
      <c r="U82" t="s">
        <v>37</v>
      </c>
      <c r="V82" t="s">
        <v>37</v>
      </c>
      <c r="W82" t="s">
        <v>36</v>
      </c>
      <c r="X82" t="s">
        <v>38</v>
      </c>
      <c r="Y82" t="s">
        <v>37</v>
      </c>
      <c r="Z82" t="s">
        <v>37</v>
      </c>
      <c r="AA82" t="s">
        <v>36</v>
      </c>
      <c r="AB82" t="s">
        <v>33</v>
      </c>
      <c r="AC82" t="s">
        <v>40</v>
      </c>
    </row>
    <row r="83" spans="1:29" x14ac:dyDescent="0.2">
      <c r="A83">
        <v>82</v>
      </c>
      <c r="B83" s="1">
        <v>46163.774386574078</v>
      </c>
      <c r="C83" s="1">
        <v>46163.779467592591</v>
      </c>
      <c r="D83" t="s">
        <v>29</v>
      </c>
      <c r="E83" s="2">
        <v>1984</v>
      </c>
      <c r="F83" t="s">
        <v>30</v>
      </c>
      <c r="G83" s="2">
        <v>2007</v>
      </c>
      <c r="H83" t="s">
        <v>50</v>
      </c>
      <c r="I83" t="s">
        <v>33</v>
      </c>
      <c r="J83" t="s">
        <v>33</v>
      </c>
      <c r="K83" t="s">
        <v>42</v>
      </c>
      <c r="L83" t="s">
        <v>83</v>
      </c>
      <c r="M83" t="s">
        <v>38</v>
      </c>
      <c r="N83" t="s">
        <v>37</v>
      </c>
      <c r="O83" t="s">
        <v>37</v>
      </c>
      <c r="P83" t="s">
        <v>37</v>
      </c>
      <c r="Q83" t="s">
        <v>39</v>
      </c>
      <c r="R83" t="s">
        <v>38</v>
      </c>
      <c r="S83" t="s">
        <v>38</v>
      </c>
      <c r="T83" t="s">
        <v>38</v>
      </c>
      <c r="U83" t="s">
        <v>37</v>
      </c>
      <c r="V83" t="s">
        <v>37</v>
      </c>
      <c r="W83" t="s">
        <v>38</v>
      </c>
      <c r="X83" t="s">
        <v>38</v>
      </c>
      <c r="Y83" t="s">
        <v>37</v>
      </c>
      <c r="Z83" t="s">
        <v>38</v>
      </c>
      <c r="AA83" t="s">
        <v>38</v>
      </c>
      <c r="AB83" t="s">
        <v>33</v>
      </c>
      <c r="AC83" t="s">
        <v>40</v>
      </c>
    </row>
    <row r="84" spans="1:29" x14ac:dyDescent="0.2">
      <c r="A84">
        <v>83</v>
      </c>
      <c r="B84" s="1">
        <v>46167.79277777778</v>
      </c>
      <c r="C84" s="1">
        <v>46167.795451388891</v>
      </c>
      <c r="D84" t="s">
        <v>29</v>
      </c>
      <c r="E84" s="2">
        <v>1989</v>
      </c>
      <c r="F84" t="s">
        <v>30</v>
      </c>
      <c r="G84" s="2">
        <v>2012</v>
      </c>
      <c r="H84" t="s">
        <v>45</v>
      </c>
      <c r="I84" t="s">
        <v>32</v>
      </c>
      <c r="J84" t="s">
        <v>33</v>
      </c>
      <c r="K84" t="s">
        <v>34</v>
      </c>
      <c r="L84" t="s">
        <v>46</v>
      </c>
      <c r="M84" t="s">
        <v>38</v>
      </c>
      <c r="N84" t="s">
        <v>38</v>
      </c>
      <c r="O84" t="s">
        <v>36</v>
      </c>
      <c r="P84" t="s">
        <v>37</v>
      </c>
      <c r="Q84" t="s">
        <v>39</v>
      </c>
      <c r="R84" t="s">
        <v>38</v>
      </c>
      <c r="S84" t="s">
        <v>38</v>
      </c>
      <c r="T84" t="s">
        <v>38</v>
      </c>
      <c r="U84" t="s">
        <v>39</v>
      </c>
      <c r="V84" t="s">
        <v>38</v>
      </c>
      <c r="W84" t="s">
        <v>38</v>
      </c>
      <c r="X84" t="s">
        <v>38</v>
      </c>
      <c r="Y84" t="s">
        <v>38</v>
      </c>
      <c r="Z84" t="s">
        <v>38</v>
      </c>
      <c r="AA84" t="s">
        <v>38</v>
      </c>
      <c r="AB84" t="s">
        <v>32</v>
      </c>
      <c r="AC84" t="s">
        <v>93</v>
      </c>
    </row>
    <row r="85" spans="1:29" x14ac:dyDescent="0.2">
      <c r="A85">
        <v>84</v>
      </c>
      <c r="B85" s="1">
        <v>46174.46597222222</v>
      </c>
      <c r="C85" s="1">
        <v>46174.467719907407</v>
      </c>
      <c r="D85" t="s">
        <v>29</v>
      </c>
      <c r="E85" s="2">
        <v>1996</v>
      </c>
      <c r="F85" t="s">
        <v>30</v>
      </c>
      <c r="G85" s="2">
        <v>2020</v>
      </c>
      <c r="H85" t="s">
        <v>50</v>
      </c>
      <c r="I85" t="s">
        <v>32</v>
      </c>
      <c r="J85" t="s">
        <v>33</v>
      </c>
      <c r="K85" t="s">
        <v>34</v>
      </c>
      <c r="L85" t="s">
        <v>84</v>
      </c>
      <c r="M85" t="s">
        <v>38</v>
      </c>
      <c r="N85" t="s">
        <v>36</v>
      </c>
      <c r="O85" t="s">
        <v>36</v>
      </c>
      <c r="P85" t="s">
        <v>37</v>
      </c>
      <c r="Q85" t="s">
        <v>39</v>
      </c>
      <c r="R85" t="s">
        <v>36</v>
      </c>
      <c r="S85" t="s">
        <v>36</v>
      </c>
      <c r="T85" t="s">
        <v>47</v>
      </c>
      <c r="U85" t="s">
        <v>39</v>
      </c>
      <c r="V85" t="s">
        <v>47</v>
      </c>
      <c r="W85" t="s">
        <v>36</v>
      </c>
      <c r="X85" t="s">
        <v>36</v>
      </c>
      <c r="Y85" t="s">
        <v>39</v>
      </c>
      <c r="Z85" t="s">
        <v>37</v>
      </c>
      <c r="AA85" t="s">
        <v>47</v>
      </c>
      <c r="AB85" t="s">
        <v>32</v>
      </c>
      <c r="AC85" t="s">
        <v>82</v>
      </c>
    </row>
    <row r="86" spans="1:29" x14ac:dyDescent="0.2">
      <c r="A86">
        <v>85</v>
      </c>
      <c r="B86" s="1">
        <v>46174.467800925922</v>
      </c>
      <c r="C86" s="1">
        <v>46174.4687037037</v>
      </c>
      <c r="D86" t="s">
        <v>29</v>
      </c>
      <c r="E86" s="2">
        <v>1995</v>
      </c>
      <c r="F86" t="s">
        <v>44</v>
      </c>
      <c r="G86" s="2">
        <v>2019</v>
      </c>
      <c r="H86" t="s">
        <v>75</v>
      </c>
      <c r="I86" t="s">
        <v>32</v>
      </c>
      <c r="J86" t="s">
        <v>33</v>
      </c>
      <c r="K86" t="s">
        <v>66</v>
      </c>
      <c r="L86" t="s">
        <v>74</v>
      </c>
      <c r="M86" t="s">
        <v>47</v>
      </c>
      <c r="N86" t="s">
        <v>47</v>
      </c>
      <c r="O86" t="s">
        <v>47</v>
      </c>
      <c r="P86" t="s">
        <v>39</v>
      </c>
      <c r="Q86" t="s">
        <v>39</v>
      </c>
      <c r="R86" t="s">
        <v>47</v>
      </c>
      <c r="S86" t="s">
        <v>47</v>
      </c>
      <c r="T86" t="s">
        <v>47</v>
      </c>
      <c r="U86" t="s">
        <v>39</v>
      </c>
      <c r="V86" t="s">
        <v>47</v>
      </c>
      <c r="W86" t="s">
        <v>36</v>
      </c>
      <c r="X86" t="s">
        <v>36</v>
      </c>
      <c r="Y86" t="s">
        <v>37</v>
      </c>
      <c r="Z86" t="s">
        <v>39</v>
      </c>
      <c r="AA86" t="s">
        <v>47</v>
      </c>
      <c r="AB86" t="s">
        <v>32</v>
      </c>
      <c r="AC86" t="s">
        <v>57</v>
      </c>
    </row>
    <row r="87" spans="1:29" x14ac:dyDescent="0.2">
      <c r="A87">
        <v>86</v>
      </c>
      <c r="B87" s="1">
        <v>46174.468726851854</v>
      </c>
      <c r="C87" s="1">
        <v>46174.46947916667</v>
      </c>
      <c r="D87" t="s">
        <v>29</v>
      </c>
      <c r="E87" s="2">
        <v>1994</v>
      </c>
      <c r="F87" t="s">
        <v>30</v>
      </c>
      <c r="G87" s="2">
        <v>2018</v>
      </c>
      <c r="H87" t="s">
        <v>53</v>
      </c>
      <c r="I87" t="s">
        <v>32</v>
      </c>
      <c r="J87" t="s">
        <v>33</v>
      </c>
      <c r="K87" t="s">
        <v>66</v>
      </c>
      <c r="L87" t="s">
        <v>43</v>
      </c>
      <c r="M87" t="s">
        <v>47</v>
      </c>
      <c r="N87" t="s">
        <v>47</v>
      </c>
      <c r="O87" t="s">
        <v>47</v>
      </c>
      <c r="P87" t="s">
        <v>37</v>
      </c>
      <c r="Q87" t="s">
        <v>39</v>
      </c>
      <c r="R87" t="s">
        <v>47</v>
      </c>
      <c r="S87" t="s">
        <v>47</v>
      </c>
      <c r="T87" t="s">
        <v>47</v>
      </c>
      <c r="U87" t="s">
        <v>39</v>
      </c>
      <c r="V87" t="s">
        <v>47</v>
      </c>
      <c r="W87" t="s">
        <v>47</v>
      </c>
      <c r="X87" t="s">
        <v>47</v>
      </c>
      <c r="Y87" t="s">
        <v>39</v>
      </c>
      <c r="Z87" t="s">
        <v>47</v>
      </c>
      <c r="AA87" t="s">
        <v>47</v>
      </c>
      <c r="AB87" t="s">
        <v>33</v>
      </c>
      <c r="AC87" t="s">
        <v>57</v>
      </c>
    </row>
    <row r="88" spans="1:29" x14ac:dyDescent="0.2">
      <c r="A88">
        <v>87</v>
      </c>
      <c r="B88" s="1">
        <v>46174.65965277778</v>
      </c>
      <c r="C88" s="1">
        <v>46174.661793981482</v>
      </c>
      <c r="D88" t="s">
        <v>29</v>
      </c>
      <c r="E88" s="2">
        <v>1989</v>
      </c>
      <c r="F88" t="s">
        <v>30</v>
      </c>
      <c r="G88" s="2">
        <v>2013</v>
      </c>
      <c r="H88" t="s">
        <v>45</v>
      </c>
      <c r="I88" t="s">
        <v>33</v>
      </c>
      <c r="J88" t="s">
        <v>33</v>
      </c>
      <c r="K88" t="s">
        <v>34</v>
      </c>
      <c r="L88" t="s">
        <v>64</v>
      </c>
      <c r="M88" t="s">
        <v>38</v>
      </c>
      <c r="N88" t="s">
        <v>38</v>
      </c>
      <c r="O88" t="s">
        <v>37</v>
      </c>
      <c r="P88" t="s">
        <v>37</v>
      </c>
      <c r="Q88" t="s">
        <v>39</v>
      </c>
      <c r="R88" t="s">
        <v>36</v>
      </c>
      <c r="S88" t="s">
        <v>38</v>
      </c>
      <c r="T88" t="s">
        <v>38</v>
      </c>
      <c r="U88" t="s">
        <v>37</v>
      </c>
      <c r="V88" t="s">
        <v>37</v>
      </c>
      <c r="W88" t="s">
        <v>36</v>
      </c>
      <c r="X88" t="s">
        <v>36</v>
      </c>
      <c r="Y88" t="s">
        <v>47</v>
      </c>
      <c r="Z88" t="s">
        <v>37</v>
      </c>
      <c r="AA88" t="s">
        <v>38</v>
      </c>
      <c r="AB88" t="s">
        <v>32</v>
      </c>
      <c r="AC88" t="s">
        <v>59</v>
      </c>
    </row>
    <row r="89" spans="1:29" x14ac:dyDescent="0.2">
      <c r="A89">
        <v>88</v>
      </c>
      <c r="B89" s="1">
        <v>46174.689918981479</v>
      </c>
      <c r="C89" s="1">
        <v>46174.715416666666</v>
      </c>
      <c r="D89" t="s">
        <v>29</v>
      </c>
      <c r="E89" s="2">
        <v>1975</v>
      </c>
      <c r="F89" t="s">
        <v>30</v>
      </c>
      <c r="G89" s="2">
        <v>2000</v>
      </c>
      <c r="H89" t="s">
        <v>45</v>
      </c>
      <c r="I89" t="s">
        <v>32</v>
      </c>
      <c r="J89" t="s">
        <v>33</v>
      </c>
      <c r="K89" t="s">
        <v>34</v>
      </c>
      <c r="L89" t="s">
        <v>72</v>
      </c>
      <c r="M89" t="s">
        <v>38</v>
      </c>
      <c r="N89" t="s">
        <v>38</v>
      </c>
      <c r="O89" t="s">
        <v>38</v>
      </c>
      <c r="P89" t="s">
        <v>37</v>
      </c>
      <c r="Q89" t="s">
        <v>36</v>
      </c>
      <c r="R89" t="s">
        <v>36</v>
      </c>
      <c r="S89" t="s">
        <v>36</v>
      </c>
      <c r="T89" t="s">
        <v>39</v>
      </c>
      <c r="U89" t="s">
        <v>39</v>
      </c>
      <c r="V89" t="s">
        <v>47</v>
      </c>
      <c r="W89" t="s">
        <v>37</v>
      </c>
      <c r="X89" t="s">
        <v>37</v>
      </c>
      <c r="Y89" t="s">
        <v>36</v>
      </c>
      <c r="Z89" t="s">
        <v>37</v>
      </c>
      <c r="AA89" t="s">
        <v>36</v>
      </c>
      <c r="AB89" t="s">
        <v>33</v>
      </c>
      <c r="AC89" t="s">
        <v>94</v>
      </c>
    </row>
    <row r="90" spans="1:29" x14ac:dyDescent="0.2">
      <c r="A90">
        <v>89</v>
      </c>
      <c r="B90" s="1">
        <v>46176.814236111109</v>
      </c>
      <c r="C90" s="1">
        <v>46176.815347222226</v>
      </c>
      <c r="D90" t="s">
        <v>29</v>
      </c>
      <c r="E90" s="2">
        <v>1994</v>
      </c>
      <c r="F90" t="s">
        <v>30</v>
      </c>
      <c r="G90" s="2">
        <v>2018</v>
      </c>
      <c r="H90" t="s">
        <v>50</v>
      </c>
      <c r="I90" t="s">
        <v>32</v>
      </c>
      <c r="J90" t="s">
        <v>33</v>
      </c>
      <c r="K90" t="s">
        <v>66</v>
      </c>
      <c r="L90" t="s">
        <v>74</v>
      </c>
      <c r="M90" t="s">
        <v>47</v>
      </c>
      <c r="N90" t="s">
        <v>38</v>
      </c>
      <c r="O90" t="s">
        <v>47</v>
      </c>
      <c r="P90" t="s">
        <v>37</v>
      </c>
      <c r="Q90" t="s">
        <v>39</v>
      </c>
      <c r="R90" t="s">
        <v>38</v>
      </c>
      <c r="S90" t="s">
        <v>38</v>
      </c>
      <c r="T90" t="s">
        <v>37</v>
      </c>
      <c r="U90" t="s">
        <v>37</v>
      </c>
      <c r="V90" t="s">
        <v>38</v>
      </c>
      <c r="W90" t="s">
        <v>36</v>
      </c>
      <c r="X90" t="s">
        <v>38</v>
      </c>
      <c r="Y90" t="s">
        <v>39</v>
      </c>
      <c r="Z90" t="s">
        <v>39</v>
      </c>
      <c r="AA90" t="s">
        <v>47</v>
      </c>
      <c r="AB90" t="s">
        <v>32</v>
      </c>
      <c r="AC90" t="s">
        <v>82</v>
      </c>
    </row>
    <row r="91" spans="1:29" x14ac:dyDescent="0.2">
      <c r="A91">
        <v>90</v>
      </c>
      <c r="B91" s="1">
        <v>46179.04010416667</v>
      </c>
      <c r="C91" s="1">
        <v>46179.042326388888</v>
      </c>
      <c r="D91" t="s">
        <v>29</v>
      </c>
      <c r="E91" s="2">
        <v>1981</v>
      </c>
      <c r="F91" t="s">
        <v>30</v>
      </c>
      <c r="G91" s="2">
        <v>2004</v>
      </c>
      <c r="H91" t="s">
        <v>45</v>
      </c>
      <c r="I91" t="s">
        <v>32</v>
      </c>
      <c r="J91" t="s">
        <v>33</v>
      </c>
      <c r="K91" t="s">
        <v>42</v>
      </c>
      <c r="L91" t="s">
        <v>56</v>
      </c>
      <c r="M91" t="s">
        <v>38</v>
      </c>
      <c r="N91" t="s">
        <v>37</v>
      </c>
      <c r="O91" t="s">
        <v>36</v>
      </c>
      <c r="P91" t="s">
        <v>37</v>
      </c>
      <c r="Q91" t="s">
        <v>39</v>
      </c>
      <c r="R91" t="s">
        <v>37</v>
      </c>
      <c r="S91" t="s">
        <v>38</v>
      </c>
      <c r="T91" t="s">
        <v>38</v>
      </c>
      <c r="U91" t="s">
        <v>37</v>
      </c>
      <c r="V91" t="s">
        <v>37</v>
      </c>
      <c r="W91" t="s">
        <v>36</v>
      </c>
      <c r="X91" t="s">
        <v>37</v>
      </c>
      <c r="Y91" t="s">
        <v>37</v>
      </c>
      <c r="Z91" t="s">
        <v>37</v>
      </c>
      <c r="AA91" t="s">
        <v>37</v>
      </c>
      <c r="AB91" t="s">
        <v>32</v>
      </c>
      <c r="AC91" t="s">
        <v>48</v>
      </c>
    </row>
    <row r="92" spans="1:29" x14ac:dyDescent="0.2">
      <c r="A92">
        <v>91</v>
      </c>
      <c r="B92" s="1">
        <v>46179.82335648148</v>
      </c>
      <c r="C92" s="1">
        <v>46179.828981481478</v>
      </c>
      <c r="D92" t="s">
        <v>29</v>
      </c>
      <c r="E92" s="2">
        <v>1993</v>
      </c>
      <c r="F92" t="s">
        <v>44</v>
      </c>
      <c r="G92" s="2">
        <v>2017</v>
      </c>
      <c r="H92" t="s">
        <v>50</v>
      </c>
      <c r="I92" t="s">
        <v>32</v>
      </c>
      <c r="J92" t="s">
        <v>33</v>
      </c>
      <c r="K92" t="s">
        <v>66</v>
      </c>
      <c r="L92" t="s">
        <v>95</v>
      </c>
      <c r="M92" t="s">
        <v>47</v>
      </c>
      <c r="N92" t="s">
        <v>47</v>
      </c>
      <c r="O92" t="s">
        <v>47</v>
      </c>
      <c r="P92" t="s">
        <v>39</v>
      </c>
      <c r="Q92" t="s">
        <v>39</v>
      </c>
      <c r="R92" t="s">
        <v>36</v>
      </c>
      <c r="S92" t="s">
        <v>38</v>
      </c>
      <c r="T92" t="s">
        <v>37</v>
      </c>
      <c r="U92" t="s">
        <v>39</v>
      </c>
      <c r="V92" t="s">
        <v>47</v>
      </c>
      <c r="W92" t="s">
        <v>36</v>
      </c>
      <c r="X92" t="s">
        <v>36</v>
      </c>
      <c r="Y92" t="s">
        <v>39</v>
      </c>
      <c r="Z92" t="s">
        <v>39</v>
      </c>
      <c r="AA92" t="s">
        <v>47</v>
      </c>
      <c r="AB92" t="s">
        <v>33</v>
      </c>
      <c r="AC92" t="s">
        <v>82</v>
      </c>
    </row>
    <row r="93" spans="1:29" x14ac:dyDescent="0.2">
      <c r="A93">
        <v>92</v>
      </c>
      <c r="B93" s="1">
        <v>46180.879155092596</v>
      </c>
      <c r="C93" s="1">
        <v>46180.880810185183</v>
      </c>
      <c r="D93" t="s">
        <v>29</v>
      </c>
      <c r="E93" s="2">
        <v>1996</v>
      </c>
      <c r="F93" t="s">
        <v>30</v>
      </c>
      <c r="G93" s="2">
        <v>2019</v>
      </c>
      <c r="H93" t="s">
        <v>50</v>
      </c>
      <c r="I93" t="s">
        <v>32</v>
      </c>
      <c r="J93" t="s">
        <v>33</v>
      </c>
      <c r="K93" t="s">
        <v>34</v>
      </c>
      <c r="L93" t="s">
        <v>95</v>
      </c>
      <c r="M93" t="s">
        <v>37</v>
      </c>
      <c r="N93" t="s">
        <v>37</v>
      </c>
      <c r="O93" t="s">
        <v>36</v>
      </c>
      <c r="P93" t="s">
        <v>37</v>
      </c>
      <c r="Q93" t="s">
        <v>37</v>
      </c>
      <c r="R93" t="s">
        <v>38</v>
      </c>
      <c r="S93" t="s">
        <v>37</v>
      </c>
      <c r="T93" t="s">
        <v>39</v>
      </c>
      <c r="U93" t="s">
        <v>36</v>
      </c>
      <c r="V93" t="s">
        <v>37</v>
      </c>
      <c r="W93" t="s">
        <v>36</v>
      </c>
      <c r="X93" t="s">
        <v>37</v>
      </c>
      <c r="Y93" t="s">
        <v>37</v>
      </c>
      <c r="Z93" t="s">
        <v>37</v>
      </c>
      <c r="AA93" t="s">
        <v>37</v>
      </c>
      <c r="AB93" t="s">
        <v>33</v>
      </c>
      <c r="AC93" t="s">
        <v>82</v>
      </c>
    </row>
    <row r="94" spans="1:29" x14ac:dyDescent="0.2">
      <c r="A94">
        <v>93</v>
      </c>
      <c r="B94" s="1">
        <v>46181.633483796293</v>
      </c>
      <c r="C94" s="1">
        <v>46181.634467592594</v>
      </c>
      <c r="D94" t="s">
        <v>29</v>
      </c>
      <c r="E94" s="2">
        <v>1991</v>
      </c>
      <c r="F94" t="s">
        <v>30</v>
      </c>
      <c r="G94" s="2">
        <v>2015</v>
      </c>
      <c r="H94" t="s">
        <v>50</v>
      </c>
      <c r="I94" t="s">
        <v>33</v>
      </c>
      <c r="J94" t="s">
        <v>33</v>
      </c>
      <c r="K94" t="s">
        <v>66</v>
      </c>
      <c r="L94" t="s">
        <v>83</v>
      </c>
      <c r="M94" t="s">
        <v>47</v>
      </c>
      <c r="N94" t="s">
        <v>47</v>
      </c>
      <c r="O94" t="s">
        <v>47</v>
      </c>
      <c r="P94" t="s">
        <v>39</v>
      </c>
      <c r="Q94" t="s">
        <v>39</v>
      </c>
      <c r="R94" t="s">
        <v>47</v>
      </c>
      <c r="S94" t="s">
        <v>38</v>
      </c>
      <c r="T94" t="s">
        <v>38</v>
      </c>
      <c r="U94" t="s">
        <v>39</v>
      </c>
      <c r="V94" t="s">
        <v>47</v>
      </c>
      <c r="W94" t="s">
        <v>47</v>
      </c>
      <c r="X94" t="s">
        <v>38</v>
      </c>
      <c r="Y94" t="s">
        <v>39</v>
      </c>
      <c r="Z94" t="s">
        <v>37</v>
      </c>
      <c r="AA94" t="s">
        <v>47</v>
      </c>
      <c r="AB94" t="s">
        <v>33</v>
      </c>
      <c r="AC94" t="s">
        <v>57</v>
      </c>
    </row>
    <row r="95" spans="1:29" x14ac:dyDescent="0.2">
      <c r="A95">
        <v>94</v>
      </c>
      <c r="B95" s="1">
        <v>46181.634513888886</v>
      </c>
      <c r="C95" s="1">
        <v>46181.638449074075</v>
      </c>
      <c r="D95" t="s">
        <v>29</v>
      </c>
      <c r="E95" s="2">
        <v>1990</v>
      </c>
      <c r="F95" t="s">
        <v>44</v>
      </c>
      <c r="G95" s="2">
        <v>2014</v>
      </c>
      <c r="H95" t="s">
        <v>58</v>
      </c>
      <c r="I95" t="s">
        <v>32</v>
      </c>
      <c r="J95" t="s">
        <v>33</v>
      </c>
      <c r="K95" t="s">
        <v>66</v>
      </c>
      <c r="L95" t="s">
        <v>46</v>
      </c>
      <c r="M95" t="s">
        <v>47</v>
      </c>
      <c r="N95" t="s">
        <v>36</v>
      </c>
      <c r="O95" t="s">
        <v>47</v>
      </c>
      <c r="P95" t="s">
        <v>39</v>
      </c>
      <c r="Q95" t="s">
        <v>39</v>
      </c>
      <c r="R95" t="s">
        <v>47</v>
      </c>
      <c r="S95" t="s">
        <v>38</v>
      </c>
      <c r="T95" t="s">
        <v>38</v>
      </c>
      <c r="U95" t="s">
        <v>39</v>
      </c>
      <c r="V95" t="s">
        <v>47</v>
      </c>
      <c r="W95" t="s">
        <v>36</v>
      </c>
      <c r="X95" t="s">
        <v>36</v>
      </c>
      <c r="Y95" t="s">
        <v>39</v>
      </c>
      <c r="Z95" t="s">
        <v>39</v>
      </c>
      <c r="AA95" t="s">
        <v>47</v>
      </c>
      <c r="AB95" t="s">
        <v>33</v>
      </c>
      <c r="AC95" t="s">
        <v>82</v>
      </c>
    </row>
    <row r="96" spans="1:29" x14ac:dyDescent="0.2">
      <c r="A96">
        <v>95</v>
      </c>
      <c r="B96" s="1">
        <v>46181.638483796298</v>
      </c>
      <c r="C96" s="1">
        <v>46181.639282407406</v>
      </c>
      <c r="D96" t="s">
        <v>29</v>
      </c>
      <c r="E96" s="2">
        <v>1994</v>
      </c>
      <c r="F96" t="s">
        <v>44</v>
      </c>
      <c r="G96" s="2">
        <v>2018</v>
      </c>
      <c r="H96" t="s">
        <v>50</v>
      </c>
      <c r="I96" t="s">
        <v>32</v>
      </c>
      <c r="J96" t="s">
        <v>33</v>
      </c>
      <c r="K96" t="s">
        <v>34</v>
      </c>
      <c r="L96" t="s">
        <v>74</v>
      </c>
      <c r="M96" t="s">
        <v>47</v>
      </c>
      <c r="N96" t="s">
        <v>36</v>
      </c>
      <c r="O96" t="s">
        <v>36</v>
      </c>
      <c r="P96" t="s">
        <v>39</v>
      </c>
      <c r="Q96" t="s">
        <v>39</v>
      </c>
      <c r="R96" t="s">
        <v>36</v>
      </c>
      <c r="S96" t="s">
        <v>38</v>
      </c>
      <c r="T96" t="s">
        <v>37</v>
      </c>
      <c r="U96" t="s">
        <v>39</v>
      </c>
      <c r="V96" t="s">
        <v>47</v>
      </c>
      <c r="W96" t="s">
        <v>36</v>
      </c>
      <c r="X96" t="s">
        <v>36</v>
      </c>
      <c r="Y96" t="s">
        <v>39</v>
      </c>
      <c r="Z96" t="s">
        <v>39</v>
      </c>
      <c r="AA96" t="s">
        <v>38</v>
      </c>
      <c r="AB96" t="s">
        <v>32</v>
      </c>
      <c r="AC96" t="s">
        <v>82</v>
      </c>
    </row>
    <row r="97" spans="1:29" x14ac:dyDescent="0.2">
      <c r="A97">
        <v>96</v>
      </c>
      <c r="B97" s="1">
        <v>46181.639328703706</v>
      </c>
      <c r="C97" s="1">
        <v>46181.640150462961</v>
      </c>
      <c r="D97" t="s">
        <v>29</v>
      </c>
      <c r="E97" s="2">
        <v>1993</v>
      </c>
      <c r="F97" t="s">
        <v>30</v>
      </c>
      <c r="G97" s="2">
        <v>2017</v>
      </c>
      <c r="H97" t="s">
        <v>96</v>
      </c>
      <c r="I97" t="s">
        <v>32</v>
      </c>
      <c r="J97" t="s">
        <v>33</v>
      </c>
      <c r="K97" t="s">
        <v>66</v>
      </c>
      <c r="L97" t="s">
        <v>84</v>
      </c>
      <c r="M97" t="s">
        <v>36</v>
      </c>
      <c r="N97" t="s">
        <v>36</v>
      </c>
      <c r="O97" t="s">
        <v>38</v>
      </c>
      <c r="P97" t="s">
        <v>37</v>
      </c>
      <c r="Q97" t="s">
        <v>39</v>
      </c>
      <c r="R97" t="s">
        <v>37</v>
      </c>
      <c r="S97" t="s">
        <v>38</v>
      </c>
      <c r="T97" t="s">
        <v>38</v>
      </c>
      <c r="U97" t="s">
        <v>39</v>
      </c>
      <c r="V97" t="s">
        <v>38</v>
      </c>
      <c r="W97" t="s">
        <v>37</v>
      </c>
      <c r="X97" t="s">
        <v>47</v>
      </c>
      <c r="Y97" t="s">
        <v>39</v>
      </c>
      <c r="Z97" t="s">
        <v>37</v>
      </c>
      <c r="AA97" t="s">
        <v>47</v>
      </c>
      <c r="AB97" t="s">
        <v>32</v>
      </c>
      <c r="AC97" t="s">
        <v>57</v>
      </c>
    </row>
    <row r="98" spans="1:29" x14ac:dyDescent="0.2">
      <c r="A98">
        <v>97</v>
      </c>
      <c r="B98" s="1">
        <v>46181.646828703706</v>
      </c>
      <c r="C98" s="1">
        <v>46181.648495370369</v>
      </c>
      <c r="D98" t="s">
        <v>29</v>
      </c>
      <c r="E98" s="2">
        <v>1996</v>
      </c>
      <c r="F98" t="s">
        <v>30</v>
      </c>
      <c r="G98" s="2">
        <v>2020</v>
      </c>
      <c r="H98" t="s">
        <v>50</v>
      </c>
      <c r="I98" t="s">
        <v>32</v>
      </c>
      <c r="J98" t="s">
        <v>33</v>
      </c>
      <c r="K98" t="s">
        <v>66</v>
      </c>
      <c r="L98" t="s">
        <v>43</v>
      </c>
      <c r="M98" t="s">
        <v>38</v>
      </c>
      <c r="N98" t="s">
        <v>37</v>
      </c>
      <c r="O98" t="s">
        <v>37</v>
      </c>
      <c r="P98" t="s">
        <v>36</v>
      </c>
      <c r="Q98" t="s">
        <v>37</v>
      </c>
      <c r="R98" t="s">
        <v>38</v>
      </c>
      <c r="S98" t="s">
        <v>38</v>
      </c>
      <c r="T98" t="s">
        <v>39</v>
      </c>
      <c r="U98" t="s">
        <v>37</v>
      </c>
      <c r="V98" t="s">
        <v>37</v>
      </c>
      <c r="W98" t="s">
        <v>36</v>
      </c>
      <c r="X98" t="s">
        <v>37</v>
      </c>
      <c r="Y98" t="s">
        <v>36</v>
      </c>
      <c r="Z98" t="s">
        <v>37</v>
      </c>
      <c r="AA98" t="s">
        <v>36</v>
      </c>
      <c r="AB98" t="s">
        <v>33</v>
      </c>
      <c r="AC98" t="s">
        <v>40</v>
      </c>
    </row>
    <row r="99" spans="1:29" x14ac:dyDescent="0.2">
      <c r="A99">
        <v>98</v>
      </c>
      <c r="B99" s="1">
        <v>46181.65520833333</v>
      </c>
      <c r="C99" s="1">
        <v>46181.657847222225</v>
      </c>
      <c r="D99" t="s">
        <v>29</v>
      </c>
      <c r="E99" s="2">
        <v>1996</v>
      </c>
      <c r="F99" t="s">
        <v>44</v>
      </c>
      <c r="G99" s="2">
        <v>1996</v>
      </c>
      <c r="H99" t="s">
        <v>50</v>
      </c>
      <c r="I99" t="s">
        <v>32</v>
      </c>
      <c r="J99" t="s">
        <v>32</v>
      </c>
      <c r="K99" t="s">
        <v>34</v>
      </c>
      <c r="L99" t="s">
        <v>43</v>
      </c>
      <c r="M99" t="s">
        <v>37</v>
      </c>
      <c r="N99" t="s">
        <v>37</v>
      </c>
      <c r="O99" t="s">
        <v>36</v>
      </c>
      <c r="P99" t="s">
        <v>36</v>
      </c>
      <c r="Q99" t="s">
        <v>37</v>
      </c>
      <c r="R99" t="s">
        <v>37</v>
      </c>
      <c r="S99" t="s">
        <v>37</v>
      </c>
      <c r="T99" t="s">
        <v>36</v>
      </c>
      <c r="U99" t="s">
        <v>37</v>
      </c>
      <c r="V99" t="s">
        <v>37</v>
      </c>
      <c r="W99" t="s">
        <v>37</v>
      </c>
      <c r="X99" t="s">
        <v>36</v>
      </c>
      <c r="Y99" t="s">
        <v>36</v>
      </c>
      <c r="Z99" t="s">
        <v>37</v>
      </c>
      <c r="AA99" t="s">
        <v>36</v>
      </c>
      <c r="AB99" t="s">
        <v>33</v>
      </c>
      <c r="AC99" t="s">
        <v>40</v>
      </c>
    </row>
    <row r="100" spans="1:29" x14ac:dyDescent="0.2">
      <c r="A100">
        <v>99</v>
      </c>
      <c r="B100" s="1">
        <v>46181.712546296294</v>
      </c>
      <c r="C100" s="1">
        <v>46181.713379629633</v>
      </c>
      <c r="D100" t="s">
        <v>29</v>
      </c>
      <c r="E100" s="2">
        <v>1994</v>
      </c>
      <c r="F100" t="s">
        <v>44</v>
      </c>
      <c r="G100" s="2">
        <v>2018</v>
      </c>
      <c r="H100" t="s">
        <v>31</v>
      </c>
      <c r="I100" t="s">
        <v>32</v>
      </c>
      <c r="J100" t="s">
        <v>33</v>
      </c>
      <c r="K100" t="s">
        <v>66</v>
      </c>
      <c r="L100" t="s">
        <v>46</v>
      </c>
      <c r="M100" t="s">
        <v>47</v>
      </c>
      <c r="N100" t="s">
        <v>47</v>
      </c>
      <c r="O100" t="s">
        <v>47</v>
      </c>
      <c r="P100" t="s">
        <v>39</v>
      </c>
      <c r="Q100" t="s">
        <v>39</v>
      </c>
      <c r="R100" t="s">
        <v>47</v>
      </c>
      <c r="S100" t="s">
        <v>47</v>
      </c>
      <c r="T100" t="s">
        <v>38</v>
      </c>
      <c r="U100" t="s">
        <v>39</v>
      </c>
      <c r="V100" t="s">
        <v>47</v>
      </c>
      <c r="W100" t="s">
        <v>47</v>
      </c>
      <c r="X100" t="s">
        <v>47</v>
      </c>
      <c r="Y100" t="s">
        <v>39</v>
      </c>
      <c r="Z100" t="s">
        <v>37</v>
      </c>
      <c r="AA100" t="s">
        <v>47</v>
      </c>
      <c r="AB100" t="s">
        <v>33</v>
      </c>
      <c r="AC100" t="s">
        <v>82</v>
      </c>
    </row>
    <row r="101" spans="1:29" x14ac:dyDescent="0.2">
      <c r="A101">
        <v>100</v>
      </c>
      <c r="B101" s="1">
        <v>46181.858460648145</v>
      </c>
      <c r="C101" s="1">
        <v>46181.861724537041</v>
      </c>
      <c r="D101" t="s">
        <v>29</v>
      </c>
      <c r="E101" s="2">
        <v>1980</v>
      </c>
      <c r="F101" t="s">
        <v>44</v>
      </c>
      <c r="G101" s="2">
        <v>2003</v>
      </c>
      <c r="H101" t="s">
        <v>45</v>
      </c>
      <c r="I101" t="s">
        <v>32</v>
      </c>
      <c r="J101" t="s">
        <v>33</v>
      </c>
      <c r="K101" t="s">
        <v>42</v>
      </c>
      <c r="L101" t="s">
        <v>35</v>
      </c>
      <c r="M101" t="s">
        <v>47</v>
      </c>
      <c r="N101" t="s">
        <v>36</v>
      </c>
      <c r="O101" t="s">
        <v>36</v>
      </c>
      <c r="P101" t="s">
        <v>37</v>
      </c>
      <c r="Q101" t="s">
        <v>37</v>
      </c>
      <c r="R101" t="s">
        <v>38</v>
      </c>
      <c r="S101" t="s">
        <v>38</v>
      </c>
      <c r="T101" t="s">
        <v>38</v>
      </c>
      <c r="U101" t="s">
        <v>36</v>
      </c>
      <c r="V101" t="s">
        <v>38</v>
      </c>
      <c r="W101" t="s">
        <v>36</v>
      </c>
      <c r="X101" t="s">
        <v>38</v>
      </c>
      <c r="Y101" t="s">
        <v>36</v>
      </c>
      <c r="Z101" t="s">
        <v>37</v>
      </c>
      <c r="AA101" t="s">
        <v>38</v>
      </c>
      <c r="AB101" t="s">
        <v>33</v>
      </c>
      <c r="AC101" t="s">
        <v>40</v>
      </c>
    </row>
    <row r="102" spans="1:29" x14ac:dyDescent="0.2">
      <c r="A102">
        <v>101</v>
      </c>
      <c r="B102" s="1">
        <v>46182.38</v>
      </c>
      <c r="C102" s="1">
        <v>46182.382800925923</v>
      </c>
      <c r="D102" t="s">
        <v>29</v>
      </c>
      <c r="E102" s="2">
        <v>1990</v>
      </c>
      <c r="F102" t="s">
        <v>30</v>
      </c>
      <c r="G102" s="2">
        <v>2013</v>
      </c>
      <c r="H102" t="s">
        <v>45</v>
      </c>
      <c r="I102" t="s">
        <v>32</v>
      </c>
      <c r="J102" t="s">
        <v>33</v>
      </c>
      <c r="K102" t="s">
        <v>66</v>
      </c>
      <c r="L102" t="s">
        <v>46</v>
      </c>
      <c r="M102" t="s">
        <v>47</v>
      </c>
      <c r="N102" t="s">
        <v>36</v>
      </c>
      <c r="O102" t="s">
        <v>36</v>
      </c>
      <c r="P102" t="s">
        <v>36</v>
      </c>
      <c r="Q102" t="s">
        <v>47</v>
      </c>
      <c r="R102" t="s">
        <v>36</v>
      </c>
      <c r="S102" t="s">
        <v>36</v>
      </c>
      <c r="T102" t="s">
        <v>36</v>
      </c>
      <c r="U102" t="s">
        <v>39</v>
      </c>
      <c r="V102" t="s">
        <v>36</v>
      </c>
      <c r="W102" t="s">
        <v>36</v>
      </c>
      <c r="X102" t="s">
        <v>36</v>
      </c>
      <c r="Y102" t="s">
        <v>36</v>
      </c>
      <c r="Z102" t="s">
        <v>36</v>
      </c>
      <c r="AA102" t="s">
        <v>36</v>
      </c>
      <c r="AB102" t="s">
        <v>32</v>
      </c>
      <c r="AC102" t="s">
        <v>40</v>
      </c>
    </row>
    <row r="103" spans="1:29" x14ac:dyDescent="0.2">
      <c r="A103">
        <v>102</v>
      </c>
      <c r="B103" s="1">
        <v>46182.394201388888</v>
      </c>
      <c r="C103" s="1">
        <v>46182.397962962961</v>
      </c>
      <c r="D103" t="s">
        <v>29</v>
      </c>
      <c r="E103" s="2">
        <v>1977</v>
      </c>
      <c r="F103" t="s">
        <v>30</v>
      </c>
      <c r="G103" s="2">
        <v>2000</v>
      </c>
      <c r="H103" t="s">
        <v>67</v>
      </c>
      <c r="I103" t="s">
        <v>33</v>
      </c>
      <c r="J103" t="s">
        <v>33</v>
      </c>
      <c r="K103" t="s">
        <v>42</v>
      </c>
      <c r="L103" t="s">
        <v>46</v>
      </c>
      <c r="M103" t="s">
        <v>47</v>
      </c>
      <c r="N103" t="s">
        <v>38</v>
      </c>
      <c r="O103" t="s">
        <v>38</v>
      </c>
      <c r="P103" t="s">
        <v>39</v>
      </c>
      <c r="Q103" t="s">
        <v>39</v>
      </c>
      <c r="R103" t="s">
        <v>47</v>
      </c>
      <c r="S103" t="s">
        <v>38</v>
      </c>
      <c r="T103" t="s">
        <v>38</v>
      </c>
      <c r="U103" t="s">
        <v>39</v>
      </c>
      <c r="V103" t="s">
        <v>47</v>
      </c>
      <c r="W103" t="s">
        <v>47</v>
      </c>
      <c r="X103" t="s">
        <v>47</v>
      </c>
      <c r="Y103" t="s">
        <v>47</v>
      </c>
      <c r="Z103" t="s">
        <v>37</v>
      </c>
      <c r="AA103" t="s">
        <v>38</v>
      </c>
      <c r="AB103" t="s">
        <v>32</v>
      </c>
      <c r="AC103" t="s">
        <v>60</v>
      </c>
    </row>
    <row r="104" spans="1:29" x14ac:dyDescent="0.2">
      <c r="A104">
        <v>103</v>
      </c>
      <c r="B104" s="1">
        <v>46182.39947916667</v>
      </c>
      <c r="C104" s="1">
        <v>46182.401134259257</v>
      </c>
      <c r="D104" t="s">
        <v>29</v>
      </c>
      <c r="E104" s="2">
        <v>1977</v>
      </c>
      <c r="F104" t="s">
        <v>44</v>
      </c>
      <c r="G104" s="2">
        <v>2000</v>
      </c>
      <c r="H104" t="s">
        <v>77</v>
      </c>
      <c r="I104" t="s">
        <v>32</v>
      </c>
      <c r="J104" t="s">
        <v>33</v>
      </c>
      <c r="K104" t="s">
        <v>42</v>
      </c>
      <c r="L104" t="s">
        <v>46</v>
      </c>
      <c r="M104" t="s">
        <v>47</v>
      </c>
      <c r="N104" t="s">
        <v>38</v>
      </c>
      <c r="O104" t="s">
        <v>38</v>
      </c>
      <c r="P104" t="s">
        <v>47</v>
      </c>
      <c r="Q104" t="s">
        <v>39</v>
      </c>
      <c r="R104" t="s">
        <v>47</v>
      </c>
      <c r="S104" t="s">
        <v>38</v>
      </c>
      <c r="T104" t="s">
        <v>38</v>
      </c>
      <c r="U104" t="s">
        <v>39</v>
      </c>
      <c r="V104" t="s">
        <v>47</v>
      </c>
      <c r="W104" t="s">
        <v>47</v>
      </c>
      <c r="X104" t="s">
        <v>47</v>
      </c>
      <c r="Y104" t="s">
        <v>39</v>
      </c>
      <c r="Z104" t="s">
        <v>37</v>
      </c>
      <c r="AA104" t="s">
        <v>38</v>
      </c>
      <c r="AB104" t="s">
        <v>32</v>
      </c>
      <c r="AC104" t="s">
        <v>59</v>
      </c>
    </row>
    <row r="105" spans="1:29" x14ac:dyDescent="0.2">
      <c r="A105">
        <v>104</v>
      </c>
      <c r="B105" s="1">
        <v>46182.942893518521</v>
      </c>
      <c r="C105" s="1">
        <v>46182.945231481484</v>
      </c>
      <c r="D105" t="s">
        <v>29</v>
      </c>
      <c r="E105" s="2">
        <v>1989</v>
      </c>
      <c r="F105" t="s">
        <v>30</v>
      </c>
      <c r="G105" s="2">
        <v>2012</v>
      </c>
      <c r="H105" t="s">
        <v>45</v>
      </c>
      <c r="I105" t="s">
        <v>32</v>
      </c>
      <c r="J105" t="s">
        <v>33</v>
      </c>
      <c r="K105" t="s">
        <v>34</v>
      </c>
      <c r="L105" t="s">
        <v>64</v>
      </c>
      <c r="M105" t="s">
        <v>47</v>
      </c>
      <c r="N105" t="s">
        <v>47</v>
      </c>
      <c r="O105" t="s">
        <v>36</v>
      </c>
      <c r="P105" t="s">
        <v>37</v>
      </c>
      <c r="Q105" t="s">
        <v>39</v>
      </c>
      <c r="R105" t="s">
        <v>38</v>
      </c>
      <c r="S105" t="s">
        <v>38</v>
      </c>
      <c r="T105" t="s">
        <v>38</v>
      </c>
      <c r="U105" t="s">
        <v>39</v>
      </c>
      <c r="V105" t="s">
        <v>38</v>
      </c>
      <c r="W105" t="s">
        <v>38</v>
      </c>
      <c r="X105" t="s">
        <v>36</v>
      </c>
      <c r="Y105" t="s">
        <v>38</v>
      </c>
      <c r="Z105" t="s">
        <v>37</v>
      </c>
      <c r="AA105" t="s">
        <v>38</v>
      </c>
      <c r="AB105" t="s">
        <v>32</v>
      </c>
      <c r="AC105" t="s">
        <v>93</v>
      </c>
    </row>
    <row r="106" spans="1:29" x14ac:dyDescent="0.2">
      <c r="A106">
        <v>105</v>
      </c>
      <c r="B106" s="1">
        <v>46182.948518518519</v>
      </c>
      <c r="C106" s="1">
        <v>46182.953784722224</v>
      </c>
      <c r="D106" t="s">
        <v>29</v>
      </c>
      <c r="E106" s="2">
        <v>1980</v>
      </c>
      <c r="F106" t="s">
        <v>30</v>
      </c>
      <c r="G106" s="2">
        <v>2003</v>
      </c>
      <c r="H106" t="s">
        <v>50</v>
      </c>
      <c r="I106" t="s">
        <v>32</v>
      </c>
      <c r="J106" t="s">
        <v>32</v>
      </c>
      <c r="K106" t="s">
        <v>34</v>
      </c>
      <c r="L106" t="s">
        <v>70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37</v>
      </c>
      <c r="S106" t="s">
        <v>37</v>
      </c>
      <c r="T106" t="s">
        <v>38</v>
      </c>
      <c r="U106" t="s">
        <v>37</v>
      </c>
      <c r="V106" t="s">
        <v>37</v>
      </c>
      <c r="W106" t="s">
        <v>38</v>
      </c>
      <c r="X106" t="s">
        <v>37</v>
      </c>
      <c r="Y106" t="s">
        <v>37</v>
      </c>
      <c r="Z106" t="s">
        <v>38</v>
      </c>
      <c r="AA106" t="s">
        <v>36</v>
      </c>
      <c r="AB106" t="s">
        <v>33</v>
      </c>
      <c r="AC106" t="s">
        <v>40</v>
      </c>
    </row>
    <row r="107" spans="1:29" x14ac:dyDescent="0.2">
      <c r="A107">
        <v>106</v>
      </c>
      <c r="B107" s="1">
        <v>46182.954328703701</v>
      </c>
      <c r="C107" s="1">
        <v>46182.958692129629</v>
      </c>
      <c r="D107" t="s">
        <v>29</v>
      </c>
      <c r="E107" s="2">
        <v>1964</v>
      </c>
      <c r="F107" t="s">
        <v>30</v>
      </c>
      <c r="G107" s="2">
        <v>1987</v>
      </c>
      <c r="H107" t="s">
        <v>97</v>
      </c>
      <c r="I107" t="s">
        <v>33</v>
      </c>
      <c r="J107" t="s">
        <v>33</v>
      </c>
      <c r="K107" t="s">
        <v>42</v>
      </c>
      <c r="L107" t="s">
        <v>62</v>
      </c>
      <c r="M107" t="s">
        <v>38</v>
      </c>
      <c r="N107" t="s">
        <v>36</v>
      </c>
      <c r="O107" t="s">
        <v>47</v>
      </c>
      <c r="P107" t="s">
        <v>37</v>
      </c>
      <c r="Q107" t="s">
        <v>39</v>
      </c>
      <c r="R107" t="s">
        <v>38</v>
      </c>
      <c r="S107" t="s">
        <v>38</v>
      </c>
      <c r="T107" t="s">
        <v>38</v>
      </c>
      <c r="U107" t="s">
        <v>39</v>
      </c>
      <c r="V107" t="s">
        <v>47</v>
      </c>
      <c r="W107" t="s">
        <v>37</v>
      </c>
      <c r="X107" t="s">
        <v>47</v>
      </c>
      <c r="Y107" t="s">
        <v>38</v>
      </c>
      <c r="Z107" t="s">
        <v>39</v>
      </c>
      <c r="AA107" t="s">
        <v>38</v>
      </c>
      <c r="AB107" t="s">
        <v>33</v>
      </c>
      <c r="AC107" t="s">
        <v>59</v>
      </c>
    </row>
    <row r="108" spans="1:29" x14ac:dyDescent="0.2">
      <c r="A108">
        <v>107</v>
      </c>
      <c r="B108" s="1">
        <v>46182.978449074071</v>
      </c>
      <c r="C108" s="1">
        <v>46182.982407407406</v>
      </c>
      <c r="D108" t="s">
        <v>29</v>
      </c>
      <c r="E108" s="2">
        <v>1993</v>
      </c>
      <c r="F108" t="s">
        <v>30</v>
      </c>
      <c r="G108" s="2">
        <v>2015</v>
      </c>
      <c r="H108" t="s">
        <v>50</v>
      </c>
      <c r="I108" t="s">
        <v>32</v>
      </c>
      <c r="J108" t="s">
        <v>33</v>
      </c>
      <c r="K108" t="s">
        <v>66</v>
      </c>
      <c r="L108" t="s">
        <v>79</v>
      </c>
      <c r="M108" t="s">
        <v>47</v>
      </c>
      <c r="N108" t="s">
        <v>37</v>
      </c>
      <c r="O108" t="s">
        <v>37</v>
      </c>
      <c r="P108" t="s">
        <v>36</v>
      </c>
      <c r="Q108" t="s">
        <v>37</v>
      </c>
      <c r="R108" t="s">
        <v>38</v>
      </c>
      <c r="S108" t="s">
        <v>37</v>
      </c>
      <c r="T108" t="s">
        <v>38</v>
      </c>
      <c r="U108" t="s">
        <v>38</v>
      </c>
      <c r="V108" t="s">
        <v>36</v>
      </c>
      <c r="W108" t="s">
        <v>37</v>
      </c>
      <c r="X108" t="s">
        <v>37</v>
      </c>
      <c r="Y108" t="s">
        <v>37</v>
      </c>
      <c r="Z108" t="s">
        <v>37</v>
      </c>
      <c r="AA108" t="s">
        <v>36</v>
      </c>
      <c r="AB108" t="s">
        <v>33</v>
      </c>
      <c r="AC108" t="s">
        <v>59</v>
      </c>
    </row>
    <row r="109" spans="1:29" x14ac:dyDescent="0.2">
      <c r="A109">
        <v>108</v>
      </c>
      <c r="B109" s="1">
        <v>46183.013460648152</v>
      </c>
      <c r="C109" s="1">
        <v>46183.016111111108</v>
      </c>
      <c r="D109" t="s">
        <v>29</v>
      </c>
      <c r="E109" s="2">
        <v>1989</v>
      </c>
      <c r="F109" t="s">
        <v>30</v>
      </c>
      <c r="G109" s="2">
        <v>2012</v>
      </c>
      <c r="H109" t="s">
        <v>50</v>
      </c>
      <c r="I109" t="s">
        <v>32</v>
      </c>
      <c r="J109" t="s">
        <v>33</v>
      </c>
      <c r="K109" t="s">
        <v>66</v>
      </c>
      <c r="L109" t="s">
        <v>98</v>
      </c>
      <c r="M109" t="s">
        <v>38</v>
      </c>
      <c r="N109" t="s">
        <v>38</v>
      </c>
      <c r="O109" t="s">
        <v>36</v>
      </c>
      <c r="P109" t="s">
        <v>37</v>
      </c>
      <c r="Q109" t="s">
        <v>37</v>
      </c>
      <c r="R109" t="s">
        <v>38</v>
      </c>
      <c r="S109" t="s">
        <v>38</v>
      </c>
      <c r="T109" t="s">
        <v>38</v>
      </c>
      <c r="U109" t="s">
        <v>37</v>
      </c>
      <c r="V109" t="s">
        <v>38</v>
      </c>
      <c r="W109" t="s">
        <v>38</v>
      </c>
      <c r="X109" t="s">
        <v>38</v>
      </c>
      <c r="Y109" t="s">
        <v>37</v>
      </c>
      <c r="Z109" t="s">
        <v>37</v>
      </c>
      <c r="AA109" t="s">
        <v>38</v>
      </c>
      <c r="AB109" t="s">
        <v>33</v>
      </c>
      <c r="AC109" t="s">
        <v>40</v>
      </c>
    </row>
    <row r="110" spans="1:29" x14ac:dyDescent="0.2">
      <c r="A110">
        <v>109</v>
      </c>
      <c r="B110" s="1">
        <v>46183.065069444441</v>
      </c>
      <c r="C110" s="1">
        <v>46183.069664351853</v>
      </c>
      <c r="D110" t="s">
        <v>29</v>
      </c>
      <c r="E110" s="2">
        <v>1959</v>
      </c>
      <c r="F110" t="s">
        <v>30</v>
      </c>
      <c r="G110" s="2">
        <v>1983</v>
      </c>
      <c r="H110" t="s">
        <v>45</v>
      </c>
      <c r="I110" t="s">
        <v>32</v>
      </c>
      <c r="J110" t="s">
        <v>33</v>
      </c>
      <c r="K110" t="s">
        <v>42</v>
      </c>
      <c r="L110" t="s">
        <v>79</v>
      </c>
      <c r="M110" t="s">
        <v>37</v>
      </c>
      <c r="N110" t="s">
        <v>47</v>
      </c>
      <c r="O110" t="s">
        <v>37</v>
      </c>
      <c r="P110" t="s">
        <v>47</v>
      </c>
      <c r="Q110" t="s">
        <v>39</v>
      </c>
      <c r="R110" t="s">
        <v>36</v>
      </c>
      <c r="S110" t="s">
        <v>38</v>
      </c>
      <c r="T110" t="s">
        <v>47</v>
      </c>
      <c r="U110" t="s">
        <v>39</v>
      </c>
      <c r="V110" t="s">
        <v>37</v>
      </c>
      <c r="W110" t="s">
        <v>37</v>
      </c>
      <c r="X110" t="s">
        <v>37</v>
      </c>
      <c r="Y110" t="s">
        <v>39</v>
      </c>
      <c r="Z110" t="s">
        <v>37</v>
      </c>
      <c r="AA110" t="s">
        <v>37</v>
      </c>
      <c r="AB110" t="s">
        <v>33</v>
      </c>
      <c r="AC110" t="s">
        <v>78</v>
      </c>
    </row>
    <row r="111" spans="1:29" x14ac:dyDescent="0.2">
      <c r="A111">
        <v>110</v>
      </c>
      <c r="B111" s="1">
        <v>46186.540543981479</v>
      </c>
      <c r="C111" s="1">
        <v>46186.542731481481</v>
      </c>
      <c r="D111" t="s">
        <v>29</v>
      </c>
      <c r="E111" s="2">
        <v>1980</v>
      </c>
      <c r="F111" t="s">
        <v>30</v>
      </c>
      <c r="G111" s="2">
        <v>2004</v>
      </c>
      <c r="H111" t="s">
        <v>99</v>
      </c>
      <c r="I111" t="s">
        <v>33</v>
      </c>
      <c r="J111" t="s">
        <v>33</v>
      </c>
      <c r="K111" t="s">
        <v>66</v>
      </c>
      <c r="L111" t="s">
        <v>46</v>
      </c>
      <c r="M111" t="s">
        <v>47</v>
      </c>
      <c r="N111" t="s">
        <v>38</v>
      </c>
      <c r="O111" t="s">
        <v>47</v>
      </c>
      <c r="P111" t="s">
        <v>47</v>
      </c>
      <c r="Q111" t="s">
        <v>39</v>
      </c>
      <c r="R111" t="s">
        <v>47</v>
      </c>
      <c r="S111" t="s">
        <v>38</v>
      </c>
      <c r="T111" t="s">
        <v>38</v>
      </c>
      <c r="U111" t="s">
        <v>37</v>
      </c>
      <c r="V111" t="s">
        <v>47</v>
      </c>
      <c r="W111" t="s">
        <v>47</v>
      </c>
      <c r="X111" t="s">
        <v>47</v>
      </c>
      <c r="Y111" t="s">
        <v>36</v>
      </c>
      <c r="Z111" t="s">
        <v>37</v>
      </c>
      <c r="AA111" t="s">
        <v>36</v>
      </c>
      <c r="AB111" t="s">
        <v>32</v>
      </c>
      <c r="AC111" t="s">
        <v>100</v>
      </c>
    </row>
    <row r="112" spans="1:29" x14ac:dyDescent="0.2">
      <c r="A112">
        <v>111</v>
      </c>
      <c r="B112" s="1">
        <v>46187.41746527778</v>
      </c>
      <c r="C112" s="1">
        <v>46187.418506944443</v>
      </c>
      <c r="D112" t="s">
        <v>29</v>
      </c>
      <c r="E112" s="2">
        <v>1996</v>
      </c>
      <c r="F112" t="s">
        <v>30</v>
      </c>
      <c r="G112" s="2">
        <v>2020</v>
      </c>
      <c r="H112" t="s">
        <v>50</v>
      </c>
      <c r="I112" t="s">
        <v>32</v>
      </c>
      <c r="J112" t="s">
        <v>32</v>
      </c>
      <c r="K112" t="s">
        <v>34</v>
      </c>
      <c r="L112" t="s">
        <v>43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t="s">
        <v>37</v>
      </c>
      <c r="AB112" t="s">
        <v>33</v>
      </c>
      <c r="AC112" t="s">
        <v>65</v>
      </c>
    </row>
    <row r="113" spans="1:29" x14ac:dyDescent="0.2">
      <c r="A113">
        <v>112</v>
      </c>
      <c r="B113" s="1">
        <v>46187.875740740739</v>
      </c>
      <c r="C113" s="1">
        <v>46187.876863425925</v>
      </c>
      <c r="D113" t="s">
        <v>29</v>
      </c>
      <c r="E113" s="2">
        <v>1986</v>
      </c>
      <c r="F113" t="s">
        <v>30</v>
      </c>
      <c r="G113" s="2">
        <v>2010</v>
      </c>
      <c r="H113" t="s">
        <v>77</v>
      </c>
      <c r="I113" t="s">
        <v>33</v>
      </c>
      <c r="J113" t="s">
        <v>33</v>
      </c>
      <c r="K113" t="s">
        <v>42</v>
      </c>
      <c r="L113" t="s">
        <v>56</v>
      </c>
      <c r="M113" t="s">
        <v>47</v>
      </c>
      <c r="N113" t="s">
        <v>47</v>
      </c>
      <c r="O113" t="s">
        <v>47</v>
      </c>
      <c r="P113" t="s">
        <v>37</v>
      </c>
      <c r="Q113" t="s">
        <v>39</v>
      </c>
      <c r="R113" t="s">
        <v>47</v>
      </c>
      <c r="S113" t="s">
        <v>38</v>
      </c>
      <c r="T113" t="s">
        <v>47</v>
      </c>
      <c r="U113" t="s">
        <v>39</v>
      </c>
      <c r="V113" t="s">
        <v>47</v>
      </c>
      <c r="W113" t="s">
        <v>47</v>
      </c>
      <c r="X113" t="s">
        <v>47</v>
      </c>
      <c r="Y113" t="s">
        <v>39</v>
      </c>
      <c r="Z113" t="s">
        <v>37</v>
      </c>
      <c r="AA113" t="s">
        <v>47</v>
      </c>
      <c r="AB113" t="s">
        <v>33</v>
      </c>
      <c r="AC113" t="s">
        <v>82</v>
      </c>
    </row>
    <row r="114" spans="1:29" x14ac:dyDescent="0.2">
      <c r="A114">
        <v>113</v>
      </c>
      <c r="B114" s="1">
        <v>46188.562939814816</v>
      </c>
      <c r="C114" s="1">
        <v>46188.564143518517</v>
      </c>
      <c r="D114" t="s">
        <v>29</v>
      </c>
      <c r="E114" s="2">
        <v>1988</v>
      </c>
      <c r="F114" t="s">
        <v>44</v>
      </c>
      <c r="G114" s="2">
        <v>2012</v>
      </c>
      <c r="H114" t="s">
        <v>77</v>
      </c>
      <c r="I114" t="s">
        <v>32</v>
      </c>
      <c r="J114" t="s">
        <v>33</v>
      </c>
      <c r="K114" t="s">
        <v>42</v>
      </c>
      <c r="L114" t="s">
        <v>46</v>
      </c>
      <c r="M114" t="s">
        <v>47</v>
      </c>
      <c r="N114" t="s">
        <v>47</v>
      </c>
      <c r="O114" t="s">
        <v>36</v>
      </c>
      <c r="P114" t="s">
        <v>37</v>
      </c>
      <c r="Q114" t="s">
        <v>39</v>
      </c>
      <c r="R114" t="s">
        <v>47</v>
      </c>
      <c r="S114" t="s">
        <v>47</v>
      </c>
      <c r="T114" t="s">
        <v>38</v>
      </c>
      <c r="U114" t="s">
        <v>39</v>
      </c>
      <c r="V114" t="s">
        <v>47</v>
      </c>
      <c r="W114" t="s">
        <v>36</v>
      </c>
      <c r="X114" t="s">
        <v>36</v>
      </c>
      <c r="Y114" t="s">
        <v>39</v>
      </c>
      <c r="Z114" t="s">
        <v>39</v>
      </c>
      <c r="AA114" t="s">
        <v>47</v>
      </c>
      <c r="AB114" t="s">
        <v>33</v>
      </c>
      <c r="AC114" t="s">
        <v>82</v>
      </c>
    </row>
    <row r="115" spans="1:29" x14ac:dyDescent="0.2">
      <c r="A115">
        <v>114</v>
      </c>
      <c r="B115" s="1">
        <v>46188.564189814817</v>
      </c>
      <c r="C115" s="1">
        <v>46188.591145833336</v>
      </c>
      <c r="D115" t="s">
        <v>29</v>
      </c>
      <c r="E115" s="2">
        <v>1994</v>
      </c>
      <c r="F115" t="s">
        <v>44</v>
      </c>
      <c r="G115" s="2">
        <v>2018</v>
      </c>
      <c r="H115" t="s">
        <v>53</v>
      </c>
      <c r="I115" t="s">
        <v>32</v>
      </c>
      <c r="J115" t="s">
        <v>33</v>
      </c>
      <c r="K115" t="s">
        <v>66</v>
      </c>
      <c r="L115" t="s">
        <v>74</v>
      </c>
      <c r="M115" t="s">
        <v>47</v>
      </c>
      <c r="N115" t="s">
        <v>47</v>
      </c>
      <c r="O115" t="s">
        <v>47</v>
      </c>
      <c r="P115" t="s">
        <v>39</v>
      </c>
      <c r="Q115" t="s">
        <v>39</v>
      </c>
      <c r="R115" t="s">
        <v>47</v>
      </c>
      <c r="S115" t="s">
        <v>47</v>
      </c>
      <c r="T115" t="s">
        <v>36</v>
      </c>
      <c r="U115" t="s">
        <v>39</v>
      </c>
      <c r="V115" t="s">
        <v>47</v>
      </c>
      <c r="W115" t="s">
        <v>47</v>
      </c>
      <c r="X115" t="s">
        <v>47</v>
      </c>
      <c r="Y115" t="s">
        <v>37</v>
      </c>
      <c r="Z115" t="s">
        <v>37</v>
      </c>
      <c r="AA115" t="s">
        <v>38</v>
      </c>
      <c r="AB115" t="s">
        <v>32</v>
      </c>
      <c r="AC115" t="s">
        <v>82</v>
      </c>
    </row>
    <row r="116" spans="1:29" x14ac:dyDescent="0.2">
      <c r="A116">
        <v>115</v>
      </c>
      <c r="B116" s="1">
        <v>46191.752569444441</v>
      </c>
      <c r="C116" s="1">
        <v>46191.755787037036</v>
      </c>
      <c r="D116" t="s">
        <v>29</v>
      </c>
      <c r="E116" s="2">
        <v>1980</v>
      </c>
      <c r="F116" t="s">
        <v>30</v>
      </c>
      <c r="G116" s="2">
        <v>1994</v>
      </c>
      <c r="H116" t="s">
        <v>58</v>
      </c>
      <c r="I116" t="s">
        <v>33</v>
      </c>
      <c r="J116" t="s">
        <v>33</v>
      </c>
      <c r="K116" t="s">
        <v>42</v>
      </c>
      <c r="L116" t="s">
        <v>74</v>
      </c>
      <c r="M116" t="s">
        <v>47</v>
      </c>
      <c r="N116" t="s">
        <v>47</v>
      </c>
      <c r="O116" t="s">
        <v>36</v>
      </c>
      <c r="P116" t="s">
        <v>39</v>
      </c>
      <c r="Q116" t="s">
        <v>39</v>
      </c>
      <c r="R116" t="s">
        <v>36</v>
      </c>
      <c r="S116" t="s">
        <v>47</v>
      </c>
      <c r="T116" t="s">
        <v>37</v>
      </c>
      <c r="U116" t="s">
        <v>39</v>
      </c>
      <c r="V116" t="s">
        <v>47</v>
      </c>
      <c r="W116" t="s">
        <v>47</v>
      </c>
      <c r="X116" t="s">
        <v>47</v>
      </c>
      <c r="Y116" t="s">
        <v>39</v>
      </c>
      <c r="Z116" t="s">
        <v>39</v>
      </c>
      <c r="AA116" t="s">
        <v>38</v>
      </c>
      <c r="AB116" t="s">
        <v>32</v>
      </c>
      <c r="AC116" t="s">
        <v>82</v>
      </c>
    </row>
    <row r="117" spans="1:29" x14ac:dyDescent="0.2">
      <c r="A117">
        <v>116</v>
      </c>
      <c r="B117" s="1">
        <v>46195.899756944447</v>
      </c>
      <c r="C117" s="1">
        <v>46195.900763888887</v>
      </c>
      <c r="D117" t="s">
        <v>29</v>
      </c>
      <c r="E117" s="2">
        <v>1994</v>
      </c>
      <c r="F117" t="s">
        <v>30</v>
      </c>
      <c r="G117" s="2">
        <v>2018</v>
      </c>
      <c r="H117" t="s">
        <v>53</v>
      </c>
      <c r="I117" t="s">
        <v>32</v>
      </c>
      <c r="J117" t="s">
        <v>33</v>
      </c>
      <c r="K117" t="s">
        <v>66</v>
      </c>
      <c r="L117" t="s">
        <v>83</v>
      </c>
      <c r="M117" t="s">
        <v>38</v>
      </c>
      <c r="N117" t="s">
        <v>38</v>
      </c>
      <c r="O117" t="s">
        <v>47</v>
      </c>
      <c r="P117" t="s">
        <v>39</v>
      </c>
      <c r="Q117" t="s">
        <v>39</v>
      </c>
      <c r="R117" t="s">
        <v>47</v>
      </c>
      <c r="S117" t="s">
        <v>38</v>
      </c>
      <c r="T117" t="s">
        <v>37</v>
      </c>
      <c r="U117" t="s">
        <v>39</v>
      </c>
      <c r="V117" t="s">
        <v>47</v>
      </c>
      <c r="W117" t="s">
        <v>36</v>
      </c>
      <c r="X117" t="s">
        <v>47</v>
      </c>
      <c r="Y117" t="s">
        <v>39</v>
      </c>
      <c r="Z117" t="s">
        <v>37</v>
      </c>
      <c r="AA117" t="s">
        <v>38</v>
      </c>
      <c r="AB117" t="s">
        <v>32</v>
      </c>
      <c r="AC117" t="s">
        <v>40</v>
      </c>
    </row>
    <row r="118" spans="1:29" x14ac:dyDescent="0.2">
      <c r="A118">
        <v>117</v>
      </c>
      <c r="B118" s="1">
        <v>46198.717303240737</v>
      </c>
      <c r="C118" s="1">
        <v>46198.727129629631</v>
      </c>
      <c r="D118" t="s">
        <v>29</v>
      </c>
      <c r="E118" s="2">
        <v>1995</v>
      </c>
      <c r="F118" t="s">
        <v>44</v>
      </c>
      <c r="G118" s="2">
        <v>2018</v>
      </c>
      <c r="H118" t="s">
        <v>50</v>
      </c>
      <c r="I118" t="s">
        <v>32</v>
      </c>
      <c r="J118" t="s">
        <v>32</v>
      </c>
      <c r="K118" t="s">
        <v>34</v>
      </c>
      <c r="L118" t="s">
        <v>43</v>
      </c>
      <c r="M118" t="s">
        <v>36</v>
      </c>
      <c r="N118" t="s">
        <v>38</v>
      </c>
      <c r="O118" t="s">
        <v>37</v>
      </c>
      <c r="P118" t="s">
        <v>37</v>
      </c>
      <c r="Q118" t="s">
        <v>37</v>
      </c>
      <c r="R118" t="s">
        <v>36</v>
      </c>
      <c r="S118" t="s">
        <v>36</v>
      </c>
      <c r="T118" t="s">
        <v>37</v>
      </c>
      <c r="U118" t="s">
        <v>37</v>
      </c>
      <c r="V118" t="s">
        <v>36</v>
      </c>
      <c r="W118" t="s">
        <v>37</v>
      </c>
      <c r="X118" t="s">
        <v>37</v>
      </c>
      <c r="Y118" t="s">
        <v>37</v>
      </c>
      <c r="Z118" t="s">
        <v>37</v>
      </c>
      <c r="AA118" t="s">
        <v>36</v>
      </c>
      <c r="AB118" t="s">
        <v>33</v>
      </c>
      <c r="AC118" t="s">
        <v>68</v>
      </c>
    </row>
    <row r="119" spans="1:29" x14ac:dyDescent="0.2">
      <c r="A119">
        <v>118</v>
      </c>
      <c r="B119" s="1">
        <v>46198.727847222224</v>
      </c>
      <c r="C119" s="1">
        <v>46198.729212962964</v>
      </c>
      <c r="D119" t="s">
        <v>29</v>
      </c>
      <c r="E119" s="2">
        <v>1993</v>
      </c>
      <c r="F119" t="s">
        <v>44</v>
      </c>
      <c r="G119" s="2">
        <v>2017</v>
      </c>
      <c r="H119" t="s">
        <v>53</v>
      </c>
      <c r="I119" t="s">
        <v>32</v>
      </c>
      <c r="J119" t="s">
        <v>33</v>
      </c>
      <c r="K119" t="s">
        <v>34</v>
      </c>
      <c r="L119" t="s">
        <v>81</v>
      </c>
      <c r="M119" t="s">
        <v>39</v>
      </c>
      <c r="N119" t="s">
        <v>37</v>
      </c>
      <c r="O119" t="s">
        <v>37</v>
      </c>
      <c r="P119" t="s">
        <v>36</v>
      </c>
      <c r="Q119" t="s">
        <v>39</v>
      </c>
      <c r="R119" t="s">
        <v>37</v>
      </c>
      <c r="S119" t="s">
        <v>37</v>
      </c>
      <c r="T119" t="s">
        <v>38</v>
      </c>
      <c r="U119" t="s">
        <v>37</v>
      </c>
      <c r="V119" t="s">
        <v>37</v>
      </c>
      <c r="W119" t="s">
        <v>36</v>
      </c>
      <c r="X119" t="s">
        <v>39</v>
      </c>
      <c r="Y119" t="s">
        <v>36</v>
      </c>
      <c r="Z119" t="s">
        <v>39</v>
      </c>
      <c r="AA119" t="s">
        <v>37</v>
      </c>
      <c r="AB119" t="s">
        <v>33</v>
      </c>
      <c r="AC119" t="s">
        <v>40</v>
      </c>
    </row>
    <row r="120" spans="1:29" x14ac:dyDescent="0.2">
      <c r="A120">
        <v>119</v>
      </c>
      <c r="B120" s="1">
        <v>46198.741793981484</v>
      </c>
      <c r="C120" s="1">
        <v>46198.745659722219</v>
      </c>
      <c r="D120" t="s">
        <v>29</v>
      </c>
      <c r="E120" s="2">
        <v>1988</v>
      </c>
      <c r="F120" t="s">
        <v>44</v>
      </c>
      <c r="G120" s="2">
        <v>2012</v>
      </c>
      <c r="H120" t="s">
        <v>45</v>
      </c>
      <c r="I120" t="s">
        <v>32</v>
      </c>
      <c r="J120" t="s">
        <v>33</v>
      </c>
      <c r="K120" t="s">
        <v>66</v>
      </c>
      <c r="L120" t="s">
        <v>98</v>
      </c>
      <c r="M120" t="s">
        <v>38</v>
      </c>
      <c r="N120" t="s">
        <v>38</v>
      </c>
      <c r="O120" t="s">
        <v>38</v>
      </c>
      <c r="P120" t="s">
        <v>37</v>
      </c>
      <c r="Q120" t="s">
        <v>37</v>
      </c>
      <c r="R120" t="s">
        <v>38</v>
      </c>
      <c r="S120" t="s">
        <v>37</v>
      </c>
      <c r="T120" t="s">
        <v>37</v>
      </c>
      <c r="U120" t="s">
        <v>37</v>
      </c>
      <c r="V120" t="s">
        <v>37</v>
      </c>
      <c r="W120" t="s">
        <v>38</v>
      </c>
      <c r="X120" t="s">
        <v>38</v>
      </c>
      <c r="Y120" t="s">
        <v>37</v>
      </c>
      <c r="Z120" t="s">
        <v>37</v>
      </c>
      <c r="AA120" t="s">
        <v>37</v>
      </c>
      <c r="AB120" t="s">
        <v>33</v>
      </c>
      <c r="AC120" t="s">
        <v>101</v>
      </c>
    </row>
    <row r="121" spans="1:29" x14ac:dyDescent="0.2">
      <c r="A121">
        <v>120</v>
      </c>
      <c r="B121" s="1">
        <v>46198.770243055558</v>
      </c>
      <c r="C121" s="1">
        <v>46198.77275462963</v>
      </c>
      <c r="D121" t="s">
        <v>29</v>
      </c>
      <c r="E121" s="2">
        <v>1989</v>
      </c>
      <c r="F121" t="s">
        <v>30</v>
      </c>
      <c r="G121" s="2">
        <v>2013</v>
      </c>
      <c r="H121" t="s">
        <v>50</v>
      </c>
      <c r="I121" t="s">
        <v>33</v>
      </c>
      <c r="J121" t="s">
        <v>33</v>
      </c>
      <c r="K121" t="s">
        <v>34</v>
      </c>
      <c r="L121" t="s">
        <v>98</v>
      </c>
      <c r="M121" t="s">
        <v>47</v>
      </c>
      <c r="N121" t="s">
        <v>38</v>
      </c>
      <c r="O121" t="s">
        <v>38</v>
      </c>
      <c r="P121" t="s">
        <v>39</v>
      </c>
      <c r="Q121" t="s">
        <v>39</v>
      </c>
      <c r="R121" t="s">
        <v>38</v>
      </c>
      <c r="S121" t="s">
        <v>38</v>
      </c>
      <c r="T121" t="s">
        <v>39</v>
      </c>
      <c r="U121" t="s">
        <v>39</v>
      </c>
      <c r="V121" t="s">
        <v>39</v>
      </c>
      <c r="W121" t="s">
        <v>39</v>
      </c>
      <c r="X121" t="s">
        <v>36</v>
      </c>
      <c r="Y121" t="s">
        <v>39</v>
      </c>
      <c r="Z121" t="s">
        <v>37</v>
      </c>
      <c r="AA121" t="s">
        <v>36</v>
      </c>
      <c r="AB121" t="s">
        <v>33</v>
      </c>
      <c r="AC121" t="s">
        <v>102</v>
      </c>
    </row>
    <row r="122" spans="1:29" x14ac:dyDescent="0.2">
      <c r="A122">
        <v>121</v>
      </c>
      <c r="B122" s="1">
        <v>46198.775196759256</v>
      </c>
      <c r="C122" s="1">
        <v>46198.779398148145</v>
      </c>
      <c r="D122" t="s">
        <v>29</v>
      </c>
      <c r="E122" s="2">
        <v>1995</v>
      </c>
      <c r="F122" t="s">
        <v>30</v>
      </c>
      <c r="G122" s="2">
        <v>2019</v>
      </c>
      <c r="H122" t="s">
        <v>50</v>
      </c>
      <c r="I122" t="s">
        <v>33</v>
      </c>
      <c r="J122" t="s">
        <v>33</v>
      </c>
      <c r="K122" t="s">
        <v>34</v>
      </c>
      <c r="L122" t="s">
        <v>103</v>
      </c>
      <c r="M122" t="s">
        <v>37</v>
      </c>
      <c r="N122" t="s">
        <v>39</v>
      </c>
      <c r="O122" t="s">
        <v>37</v>
      </c>
      <c r="P122" t="s">
        <v>38</v>
      </c>
      <c r="Q122" t="s">
        <v>39</v>
      </c>
      <c r="R122" t="s">
        <v>36</v>
      </c>
      <c r="S122" t="s">
        <v>38</v>
      </c>
      <c r="T122" t="s">
        <v>38</v>
      </c>
      <c r="U122" t="s">
        <v>39</v>
      </c>
      <c r="V122" t="s">
        <v>36</v>
      </c>
      <c r="W122" t="s">
        <v>38</v>
      </c>
      <c r="X122" t="s">
        <v>36</v>
      </c>
      <c r="Y122" t="s">
        <v>37</v>
      </c>
      <c r="Z122" t="s">
        <v>38</v>
      </c>
      <c r="AA122" t="s">
        <v>38</v>
      </c>
      <c r="AB122" t="s">
        <v>33</v>
      </c>
      <c r="AC122" t="s">
        <v>104</v>
      </c>
    </row>
    <row r="123" spans="1:29" x14ac:dyDescent="0.2">
      <c r="A123">
        <v>122</v>
      </c>
      <c r="B123" s="1">
        <v>46198.786944444444</v>
      </c>
      <c r="C123" s="1">
        <v>46198.793564814812</v>
      </c>
      <c r="D123" t="s">
        <v>29</v>
      </c>
      <c r="E123" s="2">
        <v>1992</v>
      </c>
      <c r="F123" t="s">
        <v>44</v>
      </c>
      <c r="G123" s="2">
        <v>2018</v>
      </c>
      <c r="H123" t="s">
        <v>105</v>
      </c>
      <c r="I123" t="s">
        <v>32</v>
      </c>
      <c r="J123" t="s">
        <v>32</v>
      </c>
      <c r="K123" t="s">
        <v>34</v>
      </c>
      <c r="L123" t="s">
        <v>70</v>
      </c>
      <c r="M123" t="s">
        <v>37</v>
      </c>
      <c r="N123" t="s">
        <v>37</v>
      </c>
      <c r="O123" t="s">
        <v>37</v>
      </c>
      <c r="P123" t="s">
        <v>36</v>
      </c>
      <c r="Q123" t="s">
        <v>37</v>
      </c>
      <c r="R123" t="s">
        <v>37</v>
      </c>
      <c r="S123" t="s">
        <v>37</v>
      </c>
      <c r="T123" t="s">
        <v>36</v>
      </c>
      <c r="U123" t="s">
        <v>36</v>
      </c>
      <c r="V123" t="s">
        <v>37</v>
      </c>
      <c r="W123" t="s">
        <v>38</v>
      </c>
      <c r="X123" t="s">
        <v>36</v>
      </c>
      <c r="Y123" t="s">
        <v>37</v>
      </c>
      <c r="Z123" t="s">
        <v>37</v>
      </c>
      <c r="AA123" t="s">
        <v>36</v>
      </c>
      <c r="AB123" t="s">
        <v>33</v>
      </c>
      <c r="AC123" t="s">
        <v>106</v>
      </c>
    </row>
    <row r="124" spans="1:29" x14ac:dyDescent="0.2">
      <c r="A124">
        <v>123</v>
      </c>
      <c r="B124" s="1">
        <v>46198.8596875</v>
      </c>
      <c r="C124" s="1">
        <v>46198.861481481479</v>
      </c>
      <c r="D124" t="s">
        <v>29</v>
      </c>
      <c r="E124" s="2">
        <v>1995</v>
      </c>
      <c r="F124" t="s">
        <v>30</v>
      </c>
      <c r="G124" s="2">
        <v>2019</v>
      </c>
      <c r="H124" t="s">
        <v>89</v>
      </c>
      <c r="I124" t="s">
        <v>33</v>
      </c>
      <c r="J124" t="s">
        <v>33</v>
      </c>
      <c r="K124" t="s">
        <v>34</v>
      </c>
      <c r="L124" t="s">
        <v>43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36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36</v>
      </c>
      <c r="Y124" t="s">
        <v>36</v>
      </c>
      <c r="Z124" t="s">
        <v>36</v>
      </c>
      <c r="AA124" t="s">
        <v>36</v>
      </c>
      <c r="AB124" t="s">
        <v>33</v>
      </c>
      <c r="AC124" t="s">
        <v>65</v>
      </c>
    </row>
    <row r="125" spans="1:29" x14ac:dyDescent="0.2">
      <c r="A125">
        <v>124</v>
      </c>
      <c r="B125" s="1">
        <v>46198.896319444444</v>
      </c>
      <c r="C125" s="1">
        <v>46198.897465277776</v>
      </c>
      <c r="D125" t="s">
        <v>29</v>
      </c>
      <c r="E125" s="2">
        <v>1993</v>
      </c>
      <c r="F125" t="s">
        <v>30</v>
      </c>
      <c r="G125" s="2">
        <v>2017</v>
      </c>
      <c r="H125" t="s">
        <v>96</v>
      </c>
      <c r="I125" t="s">
        <v>32</v>
      </c>
      <c r="J125" t="s">
        <v>33</v>
      </c>
      <c r="K125" t="s">
        <v>66</v>
      </c>
      <c r="L125" t="s">
        <v>107</v>
      </c>
      <c r="M125" t="s">
        <v>47</v>
      </c>
      <c r="N125" t="s">
        <v>47</v>
      </c>
      <c r="O125" t="s">
        <v>47</v>
      </c>
      <c r="P125" t="s">
        <v>39</v>
      </c>
      <c r="Q125" t="s">
        <v>39</v>
      </c>
      <c r="R125" t="s">
        <v>47</v>
      </c>
      <c r="S125" t="s">
        <v>37</v>
      </c>
      <c r="T125" t="s">
        <v>37</v>
      </c>
      <c r="U125" t="s">
        <v>39</v>
      </c>
      <c r="V125" t="s">
        <v>47</v>
      </c>
      <c r="W125" t="s">
        <v>47</v>
      </c>
      <c r="X125" t="s">
        <v>36</v>
      </c>
      <c r="Y125" t="s">
        <v>39</v>
      </c>
      <c r="Z125" t="s">
        <v>39</v>
      </c>
      <c r="AA125" t="s">
        <v>37</v>
      </c>
      <c r="AB125" t="s">
        <v>32</v>
      </c>
      <c r="AC125" t="s">
        <v>40</v>
      </c>
    </row>
    <row r="126" spans="1:29" x14ac:dyDescent="0.2">
      <c r="A126">
        <v>125</v>
      </c>
      <c r="B126" s="1">
        <v>46198.898726851854</v>
      </c>
      <c r="C126" s="1">
        <v>46198.899467592593</v>
      </c>
      <c r="D126" t="s">
        <v>29</v>
      </c>
      <c r="E126" s="2">
        <v>1996</v>
      </c>
      <c r="F126" t="s">
        <v>44</v>
      </c>
      <c r="G126" s="2">
        <v>2020</v>
      </c>
      <c r="H126" t="s">
        <v>50</v>
      </c>
      <c r="I126" t="s">
        <v>32</v>
      </c>
      <c r="J126" t="s">
        <v>33</v>
      </c>
      <c r="K126" t="s">
        <v>34</v>
      </c>
      <c r="L126" t="s">
        <v>43</v>
      </c>
      <c r="M126" t="s">
        <v>47</v>
      </c>
      <c r="N126" t="s">
        <v>47</v>
      </c>
      <c r="O126" t="s">
        <v>36</v>
      </c>
      <c r="P126" t="s">
        <v>37</v>
      </c>
      <c r="Q126" t="s">
        <v>39</v>
      </c>
      <c r="R126" t="s">
        <v>47</v>
      </c>
      <c r="S126" t="s">
        <v>38</v>
      </c>
      <c r="T126" t="s">
        <v>38</v>
      </c>
      <c r="U126" t="s">
        <v>39</v>
      </c>
      <c r="V126" t="s">
        <v>47</v>
      </c>
      <c r="W126" t="s">
        <v>36</v>
      </c>
      <c r="X126" t="s">
        <v>36</v>
      </c>
      <c r="Y126" t="s">
        <v>39</v>
      </c>
      <c r="Z126" t="s">
        <v>39</v>
      </c>
      <c r="AA126" t="s">
        <v>47</v>
      </c>
      <c r="AB126" t="s">
        <v>33</v>
      </c>
      <c r="AC126" t="s">
        <v>57</v>
      </c>
    </row>
    <row r="127" spans="1:29" x14ac:dyDescent="0.2">
      <c r="A127">
        <v>126</v>
      </c>
      <c r="B127" s="1">
        <v>46198.899618055555</v>
      </c>
      <c r="C127" s="1">
        <v>46198.90347222222</v>
      </c>
      <c r="D127" t="s">
        <v>29</v>
      </c>
      <c r="E127" s="2">
        <v>1987</v>
      </c>
      <c r="F127" t="s">
        <v>44</v>
      </c>
      <c r="G127" s="2">
        <v>2002</v>
      </c>
      <c r="H127" t="s">
        <v>50</v>
      </c>
      <c r="I127" t="s">
        <v>32</v>
      </c>
      <c r="J127" t="s">
        <v>33</v>
      </c>
      <c r="K127" t="s">
        <v>66</v>
      </c>
      <c r="L127" t="s">
        <v>70</v>
      </c>
      <c r="M127" t="s">
        <v>37</v>
      </c>
      <c r="N127" t="s">
        <v>36</v>
      </c>
      <c r="O127" t="s">
        <v>37</v>
      </c>
      <c r="P127" t="s">
        <v>37</v>
      </c>
      <c r="Q127" t="s">
        <v>39</v>
      </c>
      <c r="R127" t="s">
        <v>37</v>
      </c>
      <c r="S127" t="s">
        <v>38</v>
      </c>
      <c r="T127" t="s">
        <v>38</v>
      </c>
      <c r="U127" t="s">
        <v>37</v>
      </c>
      <c r="V127" t="s">
        <v>37</v>
      </c>
      <c r="W127" t="s">
        <v>37</v>
      </c>
      <c r="X127" t="s">
        <v>38</v>
      </c>
      <c r="Y127" t="s">
        <v>37</v>
      </c>
      <c r="Z127" t="s">
        <v>37</v>
      </c>
      <c r="AA127" t="s">
        <v>38</v>
      </c>
      <c r="AB127" t="s">
        <v>32</v>
      </c>
      <c r="AC127" t="s">
        <v>52</v>
      </c>
    </row>
    <row r="128" spans="1:29" x14ac:dyDescent="0.2">
      <c r="A128">
        <v>127</v>
      </c>
      <c r="B128" s="1">
        <v>46198.922048611108</v>
      </c>
      <c r="C128" s="1">
        <v>46198.925300925926</v>
      </c>
      <c r="D128" t="s">
        <v>29</v>
      </c>
      <c r="E128" s="2">
        <v>1992</v>
      </c>
      <c r="F128" t="s">
        <v>44</v>
      </c>
      <c r="G128" s="2">
        <v>2018</v>
      </c>
      <c r="H128" t="s">
        <v>108</v>
      </c>
      <c r="I128" t="s">
        <v>32</v>
      </c>
      <c r="J128" t="s">
        <v>33</v>
      </c>
      <c r="K128" t="s">
        <v>34</v>
      </c>
      <c r="L128" t="s">
        <v>43</v>
      </c>
      <c r="M128" t="s">
        <v>38</v>
      </c>
      <c r="N128" t="s">
        <v>36</v>
      </c>
      <c r="O128" t="s">
        <v>36</v>
      </c>
      <c r="P128" t="s">
        <v>38</v>
      </c>
      <c r="Q128" t="s">
        <v>39</v>
      </c>
      <c r="R128" t="s">
        <v>38</v>
      </c>
      <c r="S128" t="s">
        <v>38</v>
      </c>
      <c r="T128" t="s">
        <v>36</v>
      </c>
      <c r="U128" t="s">
        <v>39</v>
      </c>
      <c r="V128" t="s">
        <v>38</v>
      </c>
      <c r="W128" t="s">
        <v>38</v>
      </c>
      <c r="X128" t="s">
        <v>38</v>
      </c>
      <c r="Y128" t="s">
        <v>37</v>
      </c>
      <c r="Z128" t="s">
        <v>37</v>
      </c>
      <c r="AA128" t="s">
        <v>36</v>
      </c>
      <c r="AB128" t="s">
        <v>33</v>
      </c>
      <c r="AC128" t="s">
        <v>40</v>
      </c>
    </row>
    <row r="129" spans="1:29" x14ac:dyDescent="0.2">
      <c r="A129">
        <v>128</v>
      </c>
      <c r="B129" s="1">
        <v>46198.921041666668</v>
      </c>
      <c r="C129" s="1">
        <v>46198.925370370373</v>
      </c>
      <c r="D129" t="s">
        <v>29</v>
      </c>
      <c r="E129" s="2">
        <v>1991</v>
      </c>
      <c r="F129" t="s">
        <v>30</v>
      </c>
      <c r="G129" s="2">
        <v>1991</v>
      </c>
      <c r="H129" t="s">
        <v>50</v>
      </c>
      <c r="I129" t="s">
        <v>32</v>
      </c>
      <c r="J129" t="s">
        <v>33</v>
      </c>
      <c r="K129" t="s">
        <v>34</v>
      </c>
      <c r="L129" t="s">
        <v>76</v>
      </c>
      <c r="M129" t="s">
        <v>36</v>
      </c>
      <c r="N129" t="s">
        <v>36</v>
      </c>
      <c r="O129" t="s">
        <v>36</v>
      </c>
      <c r="P129" t="s">
        <v>37</v>
      </c>
      <c r="Q129" t="s">
        <v>39</v>
      </c>
      <c r="R129" t="s">
        <v>36</v>
      </c>
      <c r="S129" t="s">
        <v>36</v>
      </c>
      <c r="T129" t="s">
        <v>38</v>
      </c>
      <c r="U129" t="s">
        <v>39</v>
      </c>
      <c r="V129" t="s">
        <v>36</v>
      </c>
      <c r="W129" t="s">
        <v>36</v>
      </c>
      <c r="X129" t="s">
        <v>36</v>
      </c>
      <c r="Y129" t="s">
        <v>36</v>
      </c>
      <c r="Z129" t="s">
        <v>38</v>
      </c>
      <c r="AA129" t="s">
        <v>38</v>
      </c>
      <c r="AB129" t="s">
        <v>32</v>
      </c>
      <c r="AC129" t="s">
        <v>40</v>
      </c>
    </row>
    <row r="130" spans="1:29" x14ac:dyDescent="0.2">
      <c r="A130">
        <v>129</v>
      </c>
      <c r="B130" s="1">
        <v>46199.075532407405</v>
      </c>
      <c r="C130" s="1">
        <v>46199.08053240741</v>
      </c>
      <c r="D130" t="s">
        <v>29</v>
      </c>
      <c r="E130" s="2">
        <v>1992</v>
      </c>
      <c r="F130" t="s">
        <v>30</v>
      </c>
      <c r="G130" s="2">
        <v>2017</v>
      </c>
      <c r="H130" t="s">
        <v>75</v>
      </c>
      <c r="I130" t="s">
        <v>32</v>
      </c>
      <c r="J130" t="s">
        <v>32</v>
      </c>
      <c r="K130" t="s">
        <v>34</v>
      </c>
      <c r="L130" t="s">
        <v>74</v>
      </c>
      <c r="M130" t="s">
        <v>38</v>
      </c>
      <c r="N130" t="s">
        <v>37</v>
      </c>
      <c r="O130" t="s">
        <v>36</v>
      </c>
      <c r="P130" t="s">
        <v>36</v>
      </c>
      <c r="Q130" t="s">
        <v>39</v>
      </c>
      <c r="R130" t="s">
        <v>36</v>
      </c>
      <c r="S130" t="s">
        <v>37</v>
      </c>
      <c r="T130" t="s">
        <v>38</v>
      </c>
      <c r="U130" t="s">
        <v>37</v>
      </c>
      <c r="V130" t="s">
        <v>36</v>
      </c>
      <c r="W130" t="s">
        <v>36</v>
      </c>
      <c r="X130" t="s">
        <v>36</v>
      </c>
      <c r="Y130" t="s">
        <v>39</v>
      </c>
      <c r="Z130" t="s">
        <v>38</v>
      </c>
      <c r="AA130" t="s">
        <v>38</v>
      </c>
      <c r="AB130" t="s">
        <v>33</v>
      </c>
      <c r="AC130" t="s">
        <v>48</v>
      </c>
    </row>
    <row r="131" spans="1:29" x14ac:dyDescent="0.2">
      <c r="A131">
        <v>130</v>
      </c>
      <c r="B131" s="1">
        <v>46199.084027777775</v>
      </c>
      <c r="C131" s="1">
        <v>46199.087465277778</v>
      </c>
      <c r="D131" t="s">
        <v>29</v>
      </c>
      <c r="E131" s="2">
        <v>1980</v>
      </c>
      <c r="F131" t="s">
        <v>44</v>
      </c>
      <c r="G131" s="2">
        <v>2003</v>
      </c>
      <c r="H131" t="s">
        <v>50</v>
      </c>
      <c r="I131" t="s">
        <v>32</v>
      </c>
      <c r="J131" t="s">
        <v>32</v>
      </c>
      <c r="K131" t="s">
        <v>34</v>
      </c>
      <c r="L131" t="s">
        <v>70</v>
      </c>
      <c r="M131" t="s">
        <v>38</v>
      </c>
      <c r="N131" t="s">
        <v>37</v>
      </c>
      <c r="O131" t="s">
        <v>37</v>
      </c>
      <c r="P131" t="s">
        <v>37</v>
      </c>
      <c r="Q131" t="s">
        <v>37</v>
      </c>
      <c r="R131" t="s">
        <v>38</v>
      </c>
      <c r="S131" t="s">
        <v>37</v>
      </c>
      <c r="T131" t="s">
        <v>37</v>
      </c>
      <c r="U131" t="s">
        <v>37</v>
      </c>
      <c r="V131" t="s">
        <v>37</v>
      </c>
      <c r="W131" t="s">
        <v>37</v>
      </c>
      <c r="X131" t="s">
        <v>37</v>
      </c>
      <c r="Y131" t="s">
        <v>37</v>
      </c>
      <c r="Z131" t="s">
        <v>39</v>
      </c>
      <c r="AA131" t="s">
        <v>38</v>
      </c>
      <c r="AB131" t="s">
        <v>32</v>
      </c>
      <c r="AC131" t="s">
        <v>65</v>
      </c>
    </row>
    <row r="132" spans="1:29" x14ac:dyDescent="0.2">
      <c r="A132">
        <v>131</v>
      </c>
      <c r="B132" s="1">
        <v>46199.465428240743</v>
      </c>
      <c r="C132" s="1">
        <v>46199.471319444441</v>
      </c>
      <c r="D132" t="s">
        <v>29</v>
      </c>
      <c r="E132" s="2">
        <v>1985</v>
      </c>
      <c r="F132" t="s">
        <v>44</v>
      </c>
      <c r="G132" s="2">
        <v>2008</v>
      </c>
      <c r="H132" t="s">
        <v>75</v>
      </c>
      <c r="I132" t="s">
        <v>32</v>
      </c>
      <c r="J132" t="s">
        <v>33</v>
      </c>
      <c r="K132" t="s">
        <v>66</v>
      </c>
      <c r="L132" t="s">
        <v>70</v>
      </c>
      <c r="M132" t="s">
        <v>38</v>
      </c>
      <c r="N132" t="s">
        <v>38</v>
      </c>
      <c r="O132" t="s">
        <v>36</v>
      </c>
      <c r="P132" t="s">
        <v>37</v>
      </c>
      <c r="Q132" t="s">
        <v>37</v>
      </c>
      <c r="R132" t="s">
        <v>36</v>
      </c>
      <c r="S132" t="s">
        <v>38</v>
      </c>
      <c r="T132" t="s">
        <v>37</v>
      </c>
      <c r="U132" t="s">
        <v>37</v>
      </c>
      <c r="V132" t="s">
        <v>36</v>
      </c>
      <c r="W132" t="s">
        <v>36</v>
      </c>
      <c r="X132" t="s">
        <v>38</v>
      </c>
      <c r="Y132" t="s">
        <v>36</v>
      </c>
      <c r="Z132" t="s">
        <v>38</v>
      </c>
      <c r="AA132" t="s">
        <v>38</v>
      </c>
      <c r="AB132" t="s">
        <v>32</v>
      </c>
      <c r="AC132" t="s">
        <v>90</v>
      </c>
    </row>
    <row r="133" spans="1:29" x14ac:dyDescent="0.2">
      <c r="A133">
        <v>132</v>
      </c>
      <c r="B133" s="1">
        <v>46199.51152777778</v>
      </c>
      <c r="C133" s="1">
        <v>46199.515300925923</v>
      </c>
      <c r="D133" t="s">
        <v>29</v>
      </c>
      <c r="E133" s="2">
        <v>1992</v>
      </c>
      <c r="F133" t="s">
        <v>44</v>
      </c>
      <c r="G133" s="2">
        <v>2015</v>
      </c>
      <c r="H133" t="s">
        <v>89</v>
      </c>
      <c r="I133" t="s">
        <v>32</v>
      </c>
      <c r="J133" t="s">
        <v>33</v>
      </c>
      <c r="K133" t="s">
        <v>34</v>
      </c>
      <c r="L133" t="s">
        <v>70</v>
      </c>
      <c r="M133" t="s">
        <v>37</v>
      </c>
      <c r="N133" t="s">
        <v>36</v>
      </c>
      <c r="O133" t="s">
        <v>36</v>
      </c>
      <c r="P133" t="s">
        <v>37</v>
      </c>
      <c r="Q133" t="s">
        <v>37</v>
      </c>
      <c r="R133" t="s">
        <v>36</v>
      </c>
      <c r="S133" t="s">
        <v>36</v>
      </c>
      <c r="T133" t="s">
        <v>37</v>
      </c>
      <c r="U133" t="s">
        <v>37</v>
      </c>
      <c r="V133" t="s">
        <v>36</v>
      </c>
      <c r="W133" t="s">
        <v>36</v>
      </c>
      <c r="X133" t="s">
        <v>36</v>
      </c>
      <c r="Y133" t="s">
        <v>37</v>
      </c>
      <c r="Z133" t="s">
        <v>37</v>
      </c>
      <c r="AA133" t="s">
        <v>36</v>
      </c>
      <c r="AB133" t="s">
        <v>32</v>
      </c>
      <c r="AC133" t="s">
        <v>40</v>
      </c>
    </row>
    <row r="134" spans="1:29" x14ac:dyDescent="0.2">
      <c r="A134">
        <v>133</v>
      </c>
      <c r="B134" s="1">
        <v>46199.520474537036</v>
      </c>
      <c r="C134" s="1">
        <v>46199.524293981478</v>
      </c>
      <c r="D134" t="s">
        <v>29</v>
      </c>
      <c r="E134" s="2">
        <v>1995</v>
      </c>
      <c r="F134" t="s">
        <v>44</v>
      </c>
      <c r="G134" s="2">
        <v>2017</v>
      </c>
      <c r="H134" t="s">
        <v>50</v>
      </c>
      <c r="I134" t="s">
        <v>32</v>
      </c>
      <c r="J134" t="s">
        <v>32</v>
      </c>
      <c r="K134" t="s">
        <v>34</v>
      </c>
      <c r="L134" t="s">
        <v>72</v>
      </c>
      <c r="M134" t="s">
        <v>38</v>
      </c>
      <c r="N134" t="s">
        <v>37</v>
      </c>
      <c r="O134" t="s">
        <v>36</v>
      </c>
      <c r="P134" t="s">
        <v>38</v>
      </c>
      <c r="Q134" t="s">
        <v>36</v>
      </c>
      <c r="R134" t="s">
        <v>38</v>
      </c>
      <c r="S134" t="s">
        <v>36</v>
      </c>
      <c r="T134" t="s">
        <v>38</v>
      </c>
      <c r="U134" t="s">
        <v>37</v>
      </c>
      <c r="V134" t="s">
        <v>36</v>
      </c>
      <c r="W134" t="s">
        <v>36</v>
      </c>
      <c r="X134" t="s">
        <v>36</v>
      </c>
      <c r="Y134" t="s">
        <v>36</v>
      </c>
      <c r="Z134" t="s">
        <v>37</v>
      </c>
      <c r="AA134" t="s">
        <v>38</v>
      </c>
      <c r="AB134" t="s">
        <v>33</v>
      </c>
      <c r="AC134" t="s">
        <v>40</v>
      </c>
    </row>
    <row r="135" spans="1:29" x14ac:dyDescent="0.2">
      <c r="A135">
        <v>134</v>
      </c>
      <c r="B135" s="1">
        <v>46199.66646990741</v>
      </c>
      <c r="C135" s="1">
        <v>46199.672997685186</v>
      </c>
      <c r="D135" t="s">
        <v>29</v>
      </c>
      <c r="E135" s="2">
        <v>1991</v>
      </c>
      <c r="F135" t="s">
        <v>44</v>
      </c>
      <c r="G135" s="2">
        <v>2015</v>
      </c>
      <c r="H135" t="s">
        <v>50</v>
      </c>
      <c r="I135" t="s">
        <v>32</v>
      </c>
      <c r="J135" t="s">
        <v>33</v>
      </c>
      <c r="K135" t="s">
        <v>66</v>
      </c>
      <c r="L135" t="s">
        <v>109</v>
      </c>
      <c r="M135" t="s">
        <v>47</v>
      </c>
      <c r="N135" t="s">
        <v>47</v>
      </c>
      <c r="O135" t="s">
        <v>36</v>
      </c>
      <c r="P135" t="s">
        <v>39</v>
      </c>
      <c r="Q135" t="s">
        <v>39</v>
      </c>
      <c r="R135" t="s">
        <v>38</v>
      </c>
      <c r="S135" t="s">
        <v>38</v>
      </c>
      <c r="T135" t="s">
        <v>37</v>
      </c>
      <c r="U135" t="s">
        <v>39</v>
      </c>
      <c r="V135" t="s">
        <v>47</v>
      </c>
      <c r="W135" t="s">
        <v>36</v>
      </c>
      <c r="X135" t="s">
        <v>47</v>
      </c>
      <c r="Y135" t="s">
        <v>39</v>
      </c>
      <c r="Z135" t="s">
        <v>39</v>
      </c>
      <c r="AA135" t="s">
        <v>37</v>
      </c>
      <c r="AB135" t="s">
        <v>32</v>
      </c>
      <c r="AC135" t="s">
        <v>82</v>
      </c>
    </row>
    <row r="136" spans="1:29" x14ac:dyDescent="0.2">
      <c r="A136">
        <v>135</v>
      </c>
      <c r="B136" s="1">
        <v>46199.681840277779</v>
      </c>
      <c r="C136" s="1">
        <v>46199.689976851849</v>
      </c>
      <c r="D136" t="s">
        <v>29</v>
      </c>
      <c r="E136" s="2">
        <v>1991</v>
      </c>
      <c r="F136" t="s">
        <v>44</v>
      </c>
      <c r="G136" s="2">
        <v>2013</v>
      </c>
      <c r="H136" t="s">
        <v>50</v>
      </c>
      <c r="I136" t="s">
        <v>33</v>
      </c>
      <c r="J136" t="s">
        <v>32</v>
      </c>
      <c r="K136" t="s">
        <v>34</v>
      </c>
      <c r="L136" t="s">
        <v>70</v>
      </c>
      <c r="M136" t="s">
        <v>37</v>
      </c>
      <c r="N136" t="s">
        <v>37</v>
      </c>
      <c r="O136" t="s">
        <v>36</v>
      </c>
      <c r="P136" t="s">
        <v>37</v>
      </c>
      <c r="Q136" t="s">
        <v>39</v>
      </c>
      <c r="R136" t="s">
        <v>37</v>
      </c>
      <c r="S136" t="s">
        <v>36</v>
      </c>
      <c r="T136" t="s">
        <v>36</v>
      </c>
      <c r="U136" t="s">
        <v>37</v>
      </c>
      <c r="V136" t="s">
        <v>36</v>
      </c>
      <c r="W136" t="s">
        <v>36</v>
      </c>
      <c r="X136" t="s">
        <v>36</v>
      </c>
      <c r="Y136" t="s">
        <v>36</v>
      </c>
      <c r="Z136" t="s">
        <v>38</v>
      </c>
      <c r="AA136" t="s">
        <v>38</v>
      </c>
      <c r="AB136" t="s">
        <v>33</v>
      </c>
      <c r="AC136" t="s">
        <v>110</v>
      </c>
    </row>
    <row r="137" spans="1:29" x14ac:dyDescent="0.2">
      <c r="A137">
        <v>136</v>
      </c>
      <c r="B137" s="1">
        <v>46199.710868055554</v>
      </c>
      <c r="C137" s="1">
        <v>46199.71601851852</v>
      </c>
      <c r="D137" t="s">
        <v>29</v>
      </c>
      <c r="E137" s="2">
        <v>1991</v>
      </c>
      <c r="F137" t="s">
        <v>44</v>
      </c>
      <c r="G137" s="2">
        <v>2018</v>
      </c>
      <c r="H137" t="s">
        <v>41</v>
      </c>
      <c r="I137" t="s">
        <v>32</v>
      </c>
      <c r="J137" t="s">
        <v>32</v>
      </c>
      <c r="K137" t="s">
        <v>34</v>
      </c>
      <c r="L137" t="s">
        <v>43</v>
      </c>
      <c r="M137" t="s">
        <v>47</v>
      </c>
      <c r="N137" t="s">
        <v>37</v>
      </c>
      <c r="O137" t="s">
        <v>37</v>
      </c>
      <c r="P137" t="s">
        <v>36</v>
      </c>
      <c r="Q137" t="s">
        <v>47</v>
      </c>
      <c r="R137" t="s">
        <v>47</v>
      </c>
      <c r="S137" t="s">
        <v>37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  <c r="Z137" t="s">
        <v>37</v>
      </c>
      <c r="AA137" t="s">
        <v>36</v>
      </c>
      <c r="AB137" t="s">
        <v>32</v>
      </c>
      <c r="AC137" t="s">
        <v>80</v>
      </c>
    </row>
    <row r="138" spans="1:29" x14ac:dyDescent="0.2">
      <c r="A138">
        <v>137</v>
      </c>
      <c r="B138" s="1">
        <v>46199.888148148151</v>
      </c>
      <c r="C138" s="1">
        <v>46199.891111111108</v>
      </c>
      <c r="D138" t="s">
        <v>29</v>
      </c>
      <c r="E138" s="2">
        <v>2009</v>
      </c>
      <c r="F138" t="s">
        <v>44</v>
      </c>
      <c r="G138" s="2">
        <v>2009</v>
      </c>
      <c r="H138" t="s">
        <v>50</v>
      </c>
      <c r="I138" t="s">
        <v>33</v>
      </c>
      <c r="J138" t="s">
        <v>33</v>
      </c>
      <c r="K138" t="s">
        <v>42</v>
      </c>
      <c r="L138" t="s">
        <v>62</v>
      </c>
      <c r="M138" t="s">
        <v>39</v>
      </c>
      <c r="N138" t="s">
        <v>47</v>
      </c>
      <c r="O138" t="s">
        <v>39</v>
      </c>
      <c r="P138" t="s">
        <v>37</v>
      </c>
      <c r="Q138" t="s">
        <v>39</v>
      </c>
      <c r="R138" t="s">
        <v>36</v>
      </c>
      <c r="S138" t="s">
        <v>36</v>
      </c>
      <c r="T138" t="s">
        <v>37</v>
      </c>
      <c r="U138" t="s">
        <v>39</v>
      </c>
      <c r="V138" t="s">
        <v>37</v>
      </c>
      <c r="W138" t="s">
        <v>37</v>
      </c>
      <c r="X138" t="s">
        <v>37</v>
      </c>
      <c r="Y138" t="s">
        <v>36</v>
      </c>
      <c r="Z138" t="s">
        <v>39</v>
      </c>
      <c r="AA138" t="s">
        <v>39</v>
      </c>
      <c r="AB138" t="s">
        <v>33</v>
      </c>
      <c r="AC138" t="s">
        <v>40</v>
      </c>
    </row>
    <row r="139" spans="1:29" x14ac:dyDescent="0.2">
      <c r="A139">
        <v>138</v>
      </c>
      <c r="B139" s="1">
        <v>46200.499548611115</v>
      </c>
      <c r="C139" s="1">
        <v>46200.505266203705</v>
      </c>
      <c r="D139" t="s">
        <v>29</v>
      </c>
      <c r="E139" s="2">
        <v>1991</v>
      </c>
      <c r="F139" t="s">
        <v>44</v>
      </c>
      <c r="G139" s="2">
        <v>2014</v>
      </c>
      <c r="H139" t="s">
        <v>50</v>
      </c>
      <c r="I139" t="s">
        <v>32</v>
      </c>
      <c r="J139" t="s">
        <v>33</v>
      </c>
      <c r="K139" t="s">
        <v>34</v>
      </c>
      <c r="L139" t="s">
        <v>70</v>
      </c>
      <c r="M139" t="s">
        <v>37</v>
      </c>
      <c r="N139" t="s">
        <v>36</v>
      </c>
      <c r="O139" t="s">
        <v>37</v>
      </c>
      <c r="P139" t="s">
        <v>37</v>
      </c>
      <c r="Q139" t="s">
        <v>37</v>
      </c>
      <c r="R139" t="s">
        <v>36</v>
      </c>
      <c r="S139" t="s">
        <v>38</v>
      </c>
      <c r="T139" t="s">
        <v>36</v>
      </c>
      <c r="U139" t="s">
        <v>36</v>
      </c>
      <c r="V139" t="s">
        <v>37</v>
      </c>
      <c r="W139" t="s">
        <v>36</v>
      </c>
      <c r="X139" t="s">
        <v>37</v>
      </c>
      <c r="Y139" t="s">
        <v>38</v>
      </c>
      <c r="Z139" t="s">
        <v>38</v>
      </c>
      <c r="AA139" t="s">
        <v>38</v>
      </c>
      <c r="AB139" t="s">
        <v>32</v>
      </c>
      <c r="AC139" t="s">
        <v>40</v>
      </c>
    </row>
    <row r="140" spans="1:29" x14ac:dyDescent="0.2">
      <c r="A140">
        <v>139</v>
      </c>
      <c r="B140" s="1">
        <v>46200.776817129627</v>
      </c>
      <c r="C140" s="1">
        <v>46200.782407407409</v>
      </c>
      <c r="D140" t="s">
        <v>29</v>
      </c>
      <c r="E140" s="2">
        <v>1973</v>
      </c>
      <c r="F140" t="s">
        <v>44</v>
      </c>
      <c r="G140" s="2">
        <v>1997</v>
      </c>
      <c r="H140" t="s">
        <v>50</v>
      </c>
      <c r="I140" t="s">
        <v>32</v>
      </c>
      <c r="J140" t="s">
        <v>33</v>
      </c>
      <c r="K140" t="s">
        <v>42</v>
      </c>
      <c r="L140" t="s">
        <v>81</v>
      </c>
      <c r="M140" t="s">
        <v>38</v>
      </c>
      <c r="N140" t="s">
        <v>36</v>
      </c>
      <c r="O140" t="s">
        <v>36</v>
      </c>
      <c r="P140" t="s">
        <v>37</v>
      </c>
      <c r="Q140" t="s">
        <v>37</v>
      </c>
      <c r="R140" t="s">
        <v>38</v>
      </c>
      <c r="S140" t="s">
        <v>38</v>
      </c>
      <c r="T140" t="s">
        <v>38</v>
      </c>
      <c r="U140" t="s">
        <v>36</v>
      </c>
      <c r="V140" t="s">
        <v>36</v>
      </c>
      <c r="W140" t="s">
        <v>36</v>
      </c>
      <c r="X140" t="s">
        <v>36</v>
      </c>
      <c r="Y140" t="s">
        <v>37</v>
      </c>
      <c r="Z140" t="s">
        <v>38</v>
      </c>
      <c r="AA140" t="s">
        <v>38</v>
      </c>
      <c r="AB140" t="s">
        <v>33</v>
      </c>
      <c r="AC140" t="s">
        <v>40</v>
      </c>
    </row>
    <row r="141" spans="1:29" x14ac:dyDescent="0.2">
      <c r="A141">
        <v>140</v>
      </c>
      <c r="B141" s="1">
        <v>46200.787789351853</v>
      </c>
      <c r="C141" s="1">
        <v>46200.790462962963</v>
      </c>
      <c r="D141" t="s">
        <v>29</v>
      </c>
      <c r="E141" s="2">
        <v>1990</v>
      </c>
      <c r="F141" t="s">
        <v>44</v>
      </c>
      <c r="G141" s="2">
        <v>2014</v>
      </c>
      <c r="H141" t="s">
        <v>50</v>
      </c>
      <c r="I141" t="s">
        <v>32</v>
      </c>
      <c r="J141" t="s">
        <v>33</v>
      </c>
      <c r="K141" t="s">
        <v>66</v>
      </c>
      <c r="L141" t="s">
        <v>74</v>
      </c>
      <c r="M141" t="s">
        <v>47</v>
      </c>
      <c r="N141" t="s">
        <v>36</v>
      </c>
      <c r="O141" t="s">
        <v>36</v>
      </c>
      <c r="P141" t="s">
        <v>39</v>
      </c>
      <c r="Q141" t="s">
        <v>39</v>
      </c>
      <c r="R141" t="s">
        <v>47</v>
      </c>
      <c r="S141" t="s">
        <v>38</v>
      </c>
      <c r="T141" t="s">
        <v>37</v>
      </c>
      <c r="U141" t="s">
        <v>39</v>
      </c>
      <c r="V141" t="s">
        <v>47</v>
      </c>
      <c r="W141" t="s">
        <v>36</v>
      </c>
      <c r="X141" t="s">
        <v>36</v>
      </c>
      <c r="Y141" t="s">
        <v>39</v>
      </c>
      <c r="Z141" t="s">
        <v>39</v>
      </c>
      <c r="AA141" t="s">
        <v>47</v>
      </c>
      <c r="AB141" t="s">
        <v>32</v>
      </c>
      <c r="AC141" t="s">
        <v>82</v>
      </c>
    </row>
    <row r="142" spans="1:29" x14ac:dyDescent="0.2">
      <c r="A142">
        <v>141</v>
      </c>
      <c r="B142" s="1">
        <v>46200.790497685186</v>
      </c>
      <c r="C142" s="1">
        <v>46200.964467592596</v>
      </c>
      <c r="D142" t="s">
        <v>29</v>
      </c>
      <c r="E142" s="2">
        <v>1989</v>
      </c>
      <c r="F142" t="s">
        <v>44</v>
      </c>
      <c r="G142" s="2">
        <v>2013</v>
      </c>
      <c r="H142" t="s">
        <v>111</v>
      </c>
      <c r="I142" t="s">
        <v>33</v>
      </c>
      <c r="J142" t="s">
        <v>33</v>
      </c>
      <c r="K142" t="s">
        <v>66</v>
      </c>
      <c r="L142" t="s">
        <v>56</v>
      </c>
      <c r="M142" t="s">
        <v>47</v>
      </c>
      <c r="N142" t="s">
        <v>47</v>
      </c>
      <c r="O142" t="s">
        <v>47</v>
      </c>
      <c r="P142" t="s">
        <v>47</v>
      </c>
      <c r="Q142" t="s">
        <v>39</v>
      </c>
      <c r="R142" t="s">
        <v>47</v>
      </c>
      <c r="S142" t="s">
        <v>47</v>
      </c>
      <c r="T142" t="s">
        <v>47</v>
      </c>
      <c r="U142" t="s">
        <v>39</v>
      </c>
      <c r="V142" t="s">
        <v>47</v>
      </c>
      <c r="W142" t="s">
        <v>47</v>
      </c>
      <c r="X142" t="s">
        <v>47</v>
      </c>
      <c r="Y142" t="s">
        <v>39</v>
      </c>
      <c r="Z142" t="s">
        <v>47</v>
      </c>
      <c r="AA142" t="s">
        <v>47</v>
      </c>
      <c r="AB142" t="s">
        <v>33</v>
      </c>
      <c r="AC142" t="s">
        <v>82</v>
      </c>
    </row>
    <row r="143" spans="1:29" x14ac:dyDescent="0.2">
      <c r="A143">
        <v>142</v>
      </c>
      <c r="B143" s="1">
        <v>46201.998807870368</v>
      </c>
      <c r="C143" s="1">
        <v>46202.002083333333</v>
      </c>
      <c r="D143" t="s">
        <v>29</v>
      </c>
      <c r="E143" s="2">
        <v>1997</v>
      </c>
      <c r="F143" t="s">
        <v>44</v>
      </c>
      <c r="G143" s="2">
        <v>2020</v>
      </c>
      <c r="H143" t="s">
        <v>50</v>
      </c>
      <c r="I143" t="s">
        <v>32</v>
      </c>
      <c r="J143" t="s">
        <v>32</v>
      </c>
      <c r="K143" t="s">
        <v>34</v>
      </c>
      <c r="L143" t="s">
        <v>43</v>
      </c>
      <c r="M143" t="s">
        <v>37</v>
      </c>
      <c r="N143" t="s">
        <v>36</v>
      </c>
      <c r="O143" t="s">
        <v>37</v>
      </c>
      <c r="P143" t="s">
        <v>36</v>
      </c>
      <c r="Q143" t="s">
        <v>37</v>
      </c>
      <c r="R143" t="s">
        <v>37</v>
      </c>
      <c r="S143" t="s">
        <v>37</v>
      </c>
      <c r="T143" t="s">
        <v>37</v>
      </c>
      <c r="U143" t="s">
        <v>36</v>
      </c>
      <c r="V143" t="s">
        <v>36</v>
      </c>
      <c r="W143" t="s">
        <v>36</v>
      </c>
      <c r="X143" t="s">
        <v>37</v>
      </c>
      <c r="Y143" t="s">
        <v>38</v>
      </c>
      <c r="Z143" t="s">
        <v>38</v>
      </c>
      <c r="AA143" t="s">
        <v>38</v>
      </c>
      <c r="AB143" t="s">
        <v>32</v>
      </c>
      <c r="AC143" t="s">
        <v>112</v>
      </c>
    </row>
    <row r="144" spans="1:29" x14ac:dyDescent="0.2">
      <c r="A144">
        <v>143</v>
      </c>
      <c r="B144" s="1">
        <v>46208.453599537039</v>
      </c>
      <c r="C144" s="1">
        <v>46208.454687500001</v>
      </c>
      <c r="D144" t="s">
        <v>29</v>
      </c>
      <c r="E144" s="2">
        <v>1993</v>
      </c>
      <c r="F144" t="s">
        <v>44</v>
      </c>
      <c r="G144" s="2">
        <v>2017</v>
      </c>
      <c r="H144" t="s">
        <v>75</v>
      </c>
      <c r="I144" t="s">
        <v>32</v>
      </c>
      <c r="J144" t="s">
        <v>33</v>
      </c>
      <c r="K144" t="s">
        <v>66</v>
      </c>
      <c r="L144" t="s">
        <v>84</v>
      </c>
      <c r="M144" t="s">
        <v>47</v>
      </c>
      <c r="N144" t="s">
        <v>47</v>
      </c>
      <c r="O144" t="s">
        <v>47</v>
      </c>
      <c r="P144" t="s">
        <v>39</v>
      </c>
      <c r="Q144" t="s">
        <v>39</v>
      </c>
      <c r="R144" t="s">
        <v>38</v>
      </c>
      <c r="S144" t="s">
        <v>37</v>
      </c>
      <c r="T144" t="s">
        <v>37</v>
      </c>
      <c r="U144" t="s">
        <v>39</v>
      </c>
      <c r="V144" t="s">
        <v>47</v>
      </c>
      <c r="W144" t="s">
        <v>47</v>
      </c>
      <c r="X144" t="s">
        <v>36</v>
      </c>
      <c r="Y144" t="s">
        <v>39</v>
      </c>
      <c r="Z144" t="s">
        <v>39</v>
      </c>
      <c r="AA144" t="s">
        <v>47</v>
      </c>
      <c r="AB144" t="s">
        <v>32</v>
      </c>
      <c r="AC144" t="s">
        <v>57</v>
      </c>
    </row>
    <row r="145" spans="1:29" x14ac:dyDescent="0.2">
      <c r="A145">
        <v>144</v>
      </c>
      <c r="B145" s="1">
        <v>46210.293090277781</v>
      </c>
      <c r="C145" s="1">
        <v>46210.296064814815</v>
      </c>
      <c r="D145" t="s">
        <v>29</v>
      </c>
      <c r="E145" s="2">
        <v>1993</v>
      </c>
      <c r="F145" t="s">
        <v>30</v>
      </c>
      <c r="G145" s="2">
        <v>2017</v>
      </c>
      <c r="H145" t="s">
        <v>50</v>
      </c>
      <c r="I145" t="s">
        <v>32</v>
      </c>
      <c r="J145" t="s">
        <v>33</v>
      </c>
      <c r="K145" t="s">
        <v>34</v>
      </c>
      <c r="L145" t="s">
        <v>43</v>
      </c>
      <c r="M145" t="s">
        <v>38</v>
      </c>
      <c r="N145" t="s">
        <v>37</v>
      </c>
      <c r="O145" t="s">
        <v>37</v>
      </c>
      <c r="P145" t="s">
        <v>37</v>
      </c>
      <c r="Q145" t="s">
        <v>37</v>
      </c>
      <c r="R145" t="s">
        <v>38</v>
      </c>
      <c r="S145" t="s">
        <v>37</v>
      </c>
      <c r="T145" t="s">
        <v>38</v>
      </c>
      <c r="U145" t="s">
        <v>37</v>
      </c>
      <c r="V145" t="s">
        <v>38</v>
      </c>
      <c r="W145" t="s">
        <v>37</v>
      </c>
      <c r="X145" t="s">
        <v>38</v>
      </c>
      <c r="Y145" t="s">
        <v>38</v>
      </c>
      <c r="Z145" t="s">
        <v>38</v>
      </c>
      <c r="AA145" t="s">
        <v>38</v>
      </c>
      <c r="AB145" t="s">
        <v>33</v>
      </c>
      <c r="AC145" t="s">
        <v>40</v>
      </c>
    </row>
    <row r="146" spans="1:29" x14ac:dyDescent="0.2">
      <c r="A146">
        <v>145</v>
      </c>
      <c r="B146" s="1">
        <v>46210.480706018519</v>
      </c>
      <c r="C146" s="1">
        <v>46210.486319444448</v>
      </c>
      <c r="D146" t="s">
        <v>29</v>
      </c>
      <c r="E146" s="2">
        <v>1965</v>
      </c>
      <c r="F146" t="s">
        <v>30</v>
      </c>
      <c r="G146" s="2">
        <v>1997</v>
      </c>
      <c r="H146" t="s">
        <v>75</v>
      </c>
      <c r="I146" t="s">
        <v>32</v>
      </c>
      <c r="J146" t="s">
        <v>33</v>
      </c>
      <c r="K146" t="s">
        <v>42</v>
      </c>
      <c r="L146" t="s">
        <v>113</v>
      </c>
      <c r="M146" t="s">
        <v>37</v>
      </c>
      <c r="N146" t="s">
        <v>37</v>
      </c>
      <c r="O146" t="s">
        <v>36</v>
      </c>
      <c r="P146" t="s">
        <v>37</v>
      </c>
      <c r="Q146" t="s">
        <v>37</v>
      </c>
      <c r="R146" t="s">
        <v>36</v>
      </c>
      <c r="S146" t="s">
        <v>36</v>
      </c>
      <c r="T146" t="s">
        <v>38</v>
      </c>
      <c r="U146" t="s">
        <v>37</v>
      </c>
      <c r="V146" t="s">
        <v>37</v>
      </c>
      <c r="W146" t="s">
        <v>36</v>
      </c>
      <c r="X146" t="s">
        <v>36</v>
      </c>
      <c r="Y146" t="s">
        <v>37</v>
      </c>
      <c r="Z146" t="s">
        <v>37</v>
      </c>
      <c r="AA146" t="s">
        <v>38</v>
      </c>
      <c r="AB146" t="s">
        <v>33</v>
      </c>
      <c r="AC146" t="s">
        <v>40</v>
      </c>
    </row>
    <row r="147" spans="1:29" x14ac:dyDescent="0.2">
      <c r="A147">
        <v>146</v>
      </c>
      <c r="B147" s="1">
        <v>46210.711747685185</v>
      </c>
      <c r="C147" s="1">
        <v>46210.714467592596</v>
      </c>
      <c r="D147" t="s">
        <v>29</v>
      </c>
      <c r="E147" s="2">
        <v>1979</v>
      </c>
      <c r="F147" t="s">
        <v>44</v>
      </c>
      <c r="G147" s="2">
        <v>2002</v>
      </c>
      <c r="H147" t="s">
        <v>50</v>
      </c>
      <c r="I147" t="s">
        <v>32</v>
      </c>
      <c r="J147" t="s">
        <v>32</v>
      </c>
      <c r="K147" t="s">
        <v>34</v>
      </c>
      <c r="L147" t="s">
        <v>70</v>
      </c>
      <c r="M147" t="s">
        <v>37</v>
      </c>
      <c r="N147" t="s">
        <v>37</v>
      </c>
      <c r="O147" t="s">
        <v>38</v>
      </c>
      <c r="P147" t="s">
        <v>38</v>
      </c>
      <c r="Q147" t="s">
        <v>37</v>
      </c>
      <c r="R147" t="s">
        <v>38</v>
      </c>
      <c r="S147" t="s">
        <v>37</v>
      </c>
      <c r="T147" t="s">
        <v>36</v>
      </c>
      <c r="U147" t="s">
        <v>37</v>
      </c>
      <c r="V147" t="s">
        <v>38</v>
      </c>
      <c r="W147" t="s">
        <v>38</v>
      </c>
      <c r="X147" t="s">
        <v>38</v>
      </c>
      <c r="Y147" t="s">
        <v>38</v>
      </c>
      <c r="Z147" t="s">
        <v>37</v>
      </c>
      <c r="AA147" t="s">
        <v>38</v>
      </c>
      <c r="AB147" t="s">
        <v>32</v>
      </c>
      <c r="AC147" t="s">
        <v>40</v>
      </c>
    </row>
    <row r="148" spans="1:29" x14ac:dyDescent="0.2">
      <c r="A148">
        <v>147</v>
      </c>
      <c r="B148" s="1">
        <v>46210.914421296293</v>
      </c>
      <c r="C148" s="1">
        <v>46210.916388888887</v>
      </c>
      <c r="D148" t="s">
        <v>29</v>
      </c>
      <c r="E148" s="2">
        <v>1995</v>
      </c>
      <c r="F148" t="s">
        <v>30</v>
      </c>
      <c r="G148" s="2">
        <v>2019</v>
      </c>
      <c r="H148" t="s">
        <v>92</v>
      </c>
      <c r="I148" t="s">
        <v>33</v>
      </c>
      <c r="J148" t="s">
        <v>33</v>
      </c>
      <c r="K148" t="s">
        <v>34</v>
      </c>
      <c r="L148" t="s">
        <v>91</v>
      </c>
      <c r="M148" t="s">
        <v>39</v>
      </c>
      <c r="N148" t="s">
        <v>39</v>
      </c>
      <c r="O148" t="s">
        <v>38</v>
      </c>
      <c r="P148" t="s">
        <v>38</v>
      </c>
      <c r="Q148" t="s">
        <v>39</v>
      </c>
      <c r="R148" t="s">
        <v>38</v>
      </c>
      <c r="S148" t="s">
        <v>39</v>
      </c>
      <c r="T148" t="s">
        <v>38</v>
      </c>
      <c r="U148" t="s">
        <v>39</v>
      </c>
      <c r="V148" t="s">
        <v>38</v>
      </c>
      <c r="W148" t="s">
        <v>38</v>
      </c>
      <c r="X148" t="s">
        <v>37</v>
      </c>
      <c r="Y148" t="s">
        <v>39</v>
      </c>
      <c r="Z148" t="s">
        <v>39</v>
      </c>
      <c r="AA148" t="s">
        <v>47</v>
      </c>
      <c r="AB148" t="s">
        <v>33</v>
      </c>
      <c r="AC148" t="s">
        <v>106</v>
      </c>
    </row>
    <row r="149" spans="1:29" x14ac:dyDescent="0.2">
      <c r="A149">
        <v>148</v>
      </c>
      <c r="B149" s="1">
        <v>46216.683287037034</v>
      </c>
      <c r="C149" s="1">
        <v>46216.68414351852</v>
      </c>
      <c r="D149" t="s">
        <v>29</v>
      </c>
      <c r="E149" s="2">
        <v>1990</v>
      </c>
      <c r="F149" t="s">
        <v>30</v>
      </c>
      <c r="G149" s="2">
        <v>2014</v>
      </c>
      <c r="H149" t="s">
        <v>50</v>
      </c>
      <c r="I149" t="s">
        <v>32</v>
      </c>
      <c r="J149" t="s">
        <v>33</v>
      </c>
      <c r="K149" t="s">
        <v>66</v>
      </c>
      <c r="L149" t="s">
        <v>84</v>
      </c>
      <c r="M149" t="s">
        <v>38</v>
      </c>
      <c r="N149" t="s">
        <v>38</v>
      </c>
      <c r="O149" t="s">
        <v>36</v>
      </c>
      <c r="P149" t="s">
        <v>39</v>
      </c>
      <c r="Q149" t="s">
        <v>39</v>
      </c>
      <c r="R149" t="s">
        <v>36</v>
      </c>
      <c r="S149" t="s">
        <v>47</v>
      </c>
      <c r="T149" t="s">
        <v>38</v>
      </c>
      <c r="U149" t="s">
        <v>39</v>
      </c>
      <c r="V149" t="s">
        <v>47</v>
      </c>
      <c r="W149" t="s">
        <v>47</v>
      </c>
      <c r="X149" t="s">
        <v>47</v>
      </c>
      <c r="Y149" t="s">
        <v>37</v>
      </c>
      <c r="Z149" t="s">
        <v>39</v>
      </c>
      <c r="AA149" t="s">
        <v>38</v>
      </c>
      <c r="AB149" t="s">
        <v>32</v>
      </c>
      <c r="AC149" t="s">
        <v>40</v>
      </c>
    </row>
    <row r="150" spans="1:29" x14ac:dyDescent="0.2">
      <c r="A150">
        <v>149</v>
      </c>
      <c r="B150" s="1">
        <v>46216.684189814812</v>
      </c>
      <c r="C150" s="1">
        <v>46216.759733796294</v>
      </c>
      <c r="D150" t="s">
        <v>29</v>
      </c>
      <c r="E150" s="2">
        <v>1989</v>
      </c>
      <c r="F150" t="s">
        <v>44</v>
      </c>
      <c r="G150" s="2">
        <v>2013</v>
      </c>
      <c r="H150" t="s">
        <v>77</v>
      </c>
      <c r="I150" t="s">
        <v>32</v>
      </c>
      <c r="J150" t="s">
        <v>33</v>
      </c>
      <c r="K150" t="s">
        <v>42</v>
      </c>
      <c r="L150" t="s">
        <v>46</v>
      </c>
      <c r="M150" t="s">
        <v>47</v>
      </c>
      <c r="N150" t="s">
        <v>47</v>
      </c>
      <c r="O150" t="s">
        <v>47</v>
      </c>
      <c r="P150" t="s">
        <v>37</v>
      </c>
      <c r="Q150" t="s">
        <v>39</v>
      </c>
      <c r="R150" t="s">
        <v>47</v>
      </c>
      <c r="S150" t="s">
        <v>47</v>
      </c>
      <c r="T150" t="s">
        <v>47</v>
      </c>
      <c r="U150" t="s">
        <v>39</v>
      </c>
      <c r="V150" t="s">
        <v>47</v>
      </c>
      <c r="W150" t="s">
        <v>47</v>
      </c>
      <c r="X150" t="s">
        <v>47</v>
      </c>
      <c r="Y150" t="s">
        <v>39</v>
      </c>
      <c r="Z150" t="s">
        <v>37</v>
      </c>
      <c r="AA150" t="s">
        <v>47</v>
      </c>
      <c r="AB150" t="s">
        <v>33</v>
      </c>
      <c r="AC150" t="s">
        <v>57</v>
      </c>
    </row>
    <row r="151" spans="1:29" x14ac:dyDescent="0.2">
      <c r="A151">
        <v>150</v>
      </c>
      <c r="B151" s="1">
        <v>46216.759768518517</v>
      </c>
      <c r="C151" s="1">
        <v>46216.884756944448</v>
      </c>
      <c r="D151" t="s">
        <v>29</v>
      </c>
      <c r="E151" s="2">
        <v>1986</v>
      </c>
      <c r="F151" t="s">
        <v>30</v>
      </c>
      <c r="G151" s="2">
        <v>2010</v>
      </c>
      <c r="H151" t="s">
        <v>58</v>
      </c>
      <c r="I151" t="s">
        <v>33</v>
      </c>
      <c r="J151" t="s">
        <v>33</v>
      </c>
      <c r="K151" t="s">
        <v>42</v>
      </c>
      <c r="L151" t="s">
        <v>46</v>
      </c>
      <c r="M151" t="s">
        <v>47</v>
      </c>
      <c r="N151" t="s">
        <v>47</v>
      </c>
      <c r="O151" t="s">
        <v>47</v>
      </c>
      <c r="P151" t="s">
        <v>37</v>
      </c>
      <c r="Q151" t="s">
        <v>39</v>
      </c>
      <c r="R151" t="s">
        <v>47</v>
      </c>
      <c r="S151" t="s">
        <v>47</v>
      </c>
      <c r="T151" t="s">
        <v>47</v>
      </c>
      <c r="U151" t="s">
        <v>39</v>
      </c>
      <c r="V151" t="s">
        <v>47</v>
      </c>
      <c r="W151" t="s">
        <v>47</v>
      </c>
      <c r="X151" t="s">
        <v>47</v>
      </c>
      <c r="Y151" t="s">
        <v>39</v>
      </c>
      <c r="Z151" t="s">
        <v>38</v>
      </c>
      <c r="AA151" t="s">
        <v>47</v>
      </c>
      <c r="AB151" t="s">
        <v>33</v>
      </c>
      <c r="AC151" t="s">
        <v>57</v>
      </c>
    </row>
    <row r="152" spans="1:29" x14ac:dyDescent="0.2">
      <c r="A152">
        <v>151</v>
      </c>
      <c r="B152" s="1">
        <v>46217.616666666669</v>
      </c>
      <c r="C152" s="1">
        <v>46217.618692129632</v>
      </c>
      <c r="D152" t="s">
        <v>29</v>
      </c>
      <c r="E152" s="2">
        <v>1993</v>
      </c>
      <c r="F152" t="s">
        <v>44</v>
      </c>
      <c r="G152" s="2">
        <v>2017</v>
      </c>
      <c r="H152" t="s">
        <v>53</v>
      </c>
      <c r="I152" t="s">
        <v>32</v>
      </c>
      <c r="J152" t="s">
        <v>33</v>
      </c>
      <c r="K152" t="s">
        <v>34</v>
      </c>
      <c r="L152" t="s">
        <v>51</v>
      </c>
      <c r="M152" t="s">
        <v>38</v>
      </c>
      <c r="N152" t="s">
        <v>38</v>
      </c>
      <c r="O152" t="s">
        <v>47</v>
      </c>
      <c r="P152" t="s">
        <v>47</v>
      </c>
      <c r="Q152" t="s">
        <v>39</v>
      </c>
      <c r="R152" t="s">
        <v>47</v>
      </c>
      <c r="S152" t="s">
        <v>47</v>
      </c>
      <c r="T152" t="s">
        <v>47</v>
      </c>
      <c r="U152" t="s">
        <v>39</v>
      </c>
      <c r="V152" t="s">
        <v>47</v>
      </c>
      <c r="W152" t="s">
        <v>47</v>
      </c>
      <c r="X152" t="s">
        <v>47</v>
      </c>
      <c r="Y152" t="s">
        <v>38</v>
      </c>
      <c r="Z152" t="s">
        <v>38</v>
      </c>
      <c r="AA152" t="s">
        <v>47</v>
      </c>
      <c r="AB152" t="s">
        <v>32</v>
      </c>
      <c r="AC152" t="s">
        <v>55</v>
      </c>
    </row>
    <row r="153" spans="1:29" x14ac:dyDescent="0.2">
      <c r="A153">
        <v>152</v>
      </c>
      <c r="B153" s="1">
        <v>46217.81108796296</v>
      </c>
      <c r="C153" s="1">
        <v>46217.825532407405</v>
      </c>
      <c r="D153" t="s">
        <v>29</v>
      </c>
      <c r="E153" s="2">
        <v>1976</v>
      </c>
      <c r="F153" t="s">
        <v>44</v>
      </c>
      <c r="G153" s="2">
        <v>2000</v>
      </c>
      <c r="H153" t="s">
        <v>77</v>
      </c>
      <c r="I153" t="s">
        <v>32</v>
      </c>
      <c r="J153" t="s">
        <v>33</v>
      </c>
      <c r="K153" t="s">
        <v>42</v>
      </c>
      <c r="L153" t="s">
        <v>74</v>
      </c>
      <c r="M153" t="s">
        <v>47</v>
      </c>
      <c r="N153" t="s">
        <v>47</v>
      </c>
      <c r="O153" t="s">
        <v>47</v>
      </c>
      <c r="P153" t="s">
        <v>39</v>
      </c>
      <c r="Q153" t="s">
        <v>39</v>
      </c>
      <c r="R153" t="s">
        <v>47</v>
      </c>
      <c r="S153" t="s">
        <v>47</v>
      </c>
      <c r="T153" t="s">
        <v>37</v>
      </c>
      <c r="U153" t="s">
        <v>39</v>
      </c>
      <c r="V153" t="s">
        <v>47</v>
      </c>
      <c r="W153" t="s">
        <v>36</v>
      </c>
      <c r="X153" t="s">
        <v>36</v>
      </c>
      <c r="Y153" t="s">
        <v>39</v>
      </c>
      <c r="Z153" t="s">
        <v>37</v>
      </c>
      <c r="AA153" t="s">
        <v>47</v>
      </c>
      <c r="AB153" t="s">
        <v>33</v>
      </c>
      <c r="AC153" t="s">
        <v>57</v>
      </c>
    </row>
    <row r="154" spans="1:29" x14ac:dyDescent="0.2">
      <c r="A154">
        <v>153</v>
      </c>
      <c r="B154" s="1">
        <v>46218.4296412037</v>
      </c>
      <c r="C154" s="1">
        <v>46218.433738425927</v>
      </c>
      <c r="D154" t="s">
        <v>29</v>
      </c>
      <c r="E154" s="2">
        <v>1967</v>
      </c>
      <c r="F154" t="s">
        <v>44</v>
      </c>
      <c r="G154" s="2">
        <v>1990</v>
      </c>
      <c r="H154" t="s">
        <v>45</v>
      </c>
      <c r="I154" t="s">
        <v>33</v>
      </c>
      <c r="J154" t="s">
        <v>33</v>
      </c>
      <c r="K154" t="s">
        <v>42</v>
      </c>
      <c r="L154" t="s">
        <v>64</v>
      </c>
      <c r="M154" t="s">
        <v>38</v>
      </c>
      <c r="N154" t="s">
        <v>38</v>
      </c>
      <c r="O154" t="s">
        <v>38</v>
      </c>
      <c r="P154" t="s">
        <v>37</v>
      </c>
      <c r="Q154" t="s">
        <v>39</v>
      </c>
      <c r="R154" t="s">
        <v>38</v>
      </c>
      <c r="S154" t="s">
        <v>47</v>
      </c>
      <c r="T154" t="s">
        <v>38</v>
      </c>
      <c r="U154" t="s">
        <v>47</v>
      </c>
      <c r="V154" t="s">
        <v>38</v>
      </c>
      <c r="W154" t="s">
        <v>47</v>
      </c>
      <c r="X154" t="s">
        <v>38</v>
      </c>
      <c r="Y154" t="s">
        <v>38</v>
      </c>
      <c r="Z154" t="s">
        <v>37</v>
      </c>
      <c r="AA154" t="s">
        <v>38</v>
      </c>
      <c r="AB154" t="s">
        <v>33</v>
      </c>
      <c r="AC154" t="s">
        <v>40</v>
      </c>
    </row>
    <row r="155" spans="1:29" x14ac:dyDescent="0.2">
      <c r="A155">
        <v>154</v>
      </c>
      <c r="B155" s="1">
        <v>46218.912962962961</v>
      </c>
      <c r="C155" s="1">
        <v>46218.914872685185</v>
      </c>
      <c r="D155" t="s">
        <v>29</v>
      </c>
      <c r="E155" s="2">
        <v>1990</v>
      </c>
      <c r="F155" t="s">
        <v>30</v>
      </c>
      <c r="G155" s="2">
        <v>2014</v>
      </c>
      <c r="H155" t="s">
        <v>114</v>
      </c>
      <c r="I155" t="s">
        <v>32</v>
      </c>
      <c r="J155" t="s">
        <v>32</v>
      </c>
      <c r="K155" t="s">
        <v>34</v>
      </c>
      <c r="L155" t="s">
        <v>51</v>
      </c>
      <c r="M155" t="s">
        <v>47</v>
      </c>
      <c r="N155" t="s">
        <v>38</v>
      </c>
      <c r="O155" t="s">
        <v>47</v>
      </c>
      <c r="P155" t="s">
        <v>38</v>
      </c>
      <c r="Q155" t="s">
        <v>39</v>
      </c>
      <c r="R155" t="s">
        <v>38</v>
      </c>
      <c r="S155" t="s">
        <v>38</v>
      </c>
      <c r="T155" t="s">
        <v>38</v>
      </c>
      <c r="U155" t="s">
        <v>39</v>
      </c>
      <c r="V155" t="s">
        <v>47</v>
      </c>
      <c r="W155" t="s">
        <v>47</v>
      </c>
      <c r="X155" t="s">
        <v>47</v>
      </c>
      <c r="Y155" t="s">
        <v>47</v>
      </c>
      <c r="Z155" t="s">
        <v>38</v>
      </c>
      <c r="AA155" t="s">
        <v>47</v>
      </c>
      <c r="AB155" t="s">
        <v>32</v>
      </c>
      <c r="AC155" t="s">
        <v>80</v>
      </c>
    </row>
    <row r="156" spans="1:29" x14ac:dyDescent="0.2">
      <c r="A156">
        <v>155</v>
      </c>
      <c r="B156" s="1">
        <v>46218.956053240741</v>
      </c>
      <c r="C156" s="1">
        <v>46218.957060185188</v>
      </c>
      <c r="D156" t="s">
        <v>29</v>
      </c>
      <c r="E156" s="2">
        <v>1982</v>
      </c>
      <c r="F156" t="s">
        <v>30</v>
      </c>
      <c r="G156" s="2">
        <v>2012</v>
      </c>
      <c r="H156" t="s">
        <v>58</v>
      </c>
      <c r="I156" t="s">
        <v>32</v>
      </c>
      <c r="J156" t="s">
        <v>33</v>
      </c>
      <c r="K156" t="s">
        <v>42</v>
      </c>
      <c r="L156" t="s">
        <v>115</v>
      </c>
      <c r="M156" t="s">
        <v>47</v>
      </c>
      <c r="N156" t="s">
        <v>47</v>
      </c>
      <c r="O156" t="s">
        <v>47</v>
      </c>
      <c r="P156" t="s">
        <v>39</v>
      </c>
      <c r="Q156" t="s">
        <v>39</v>
      </c>
      <c r="R156" t="s">
        <v>47</v>
      </c>
      <c r="S156" t="s">
        <v>47</v>
      </c>
      <c r="T156" t="s">
        <v>47</v>
      </c>
      <c r="U156" t="s">
        <v>39</v>
      </c>
      <c r="V156" t="s">
        <v>47</v>
      </c>
      <c r="W156" t="s">
        <v>47</v>
      </c>
      <c r="X156" t="s">
        <v>47</v>
      </c>
      <c r="Y156" t="s">
        <v>39</v>
      </c>
      <c r="Z156" t="s">
        <v>39</v>
      </c>
      <c r="AA156" t="s">
        <v>47</v>
      </c>
      <c r="AB156" t="s">
        <v>33</v>
      </c>
      <c r="AC156" t="s">
        <v>82</v>
      </c>
    </row>
    <row r="157" spans="1:29" x14ac:dyDescent="0.2">
      <c r="A157">
        <v>156</v>
      </c>
      <c r="B157" s="1">
        <v>46219.513402777775</v>
      </c>
      <c r="C157" s="1">
        <v>46219.515625</v>
      </c>
      <c r="D157" t="s">
        <v>29</v>
      </c>
      <c r="E157" s="2">
        <v>1983</v>
      </c>
      <c r="F157" t="s">
        <v>44</v>
      </c>
      <c r="G157" s="2">
        <v>2006</v>
      </c>
      <c r="H157" t="s">
        <v>45</v>
      </c>
      <c r="I157" t="s">
        <v>33</v>
      </c>
      <c r="J157" t="s">
        <v>33</v>
      </c>
      <c r="K157" t="s">
        <v>66</v>
      </c>
      <c r="L157" t="s">
        <v>56</v>
      </c>
      <c r="M157" t="s">
        <v>37</v>
      </c>
      <c r="N157" t="s">
        <v>36</v>
      </c>
      <c r="O157" t="s">
        <v>37</v>
      </c>
      <c r="P157" t="s">
        <v>36</v>
      </c>
      <c r="Q157" t="s">
        <v>39</v>
      </c>
      <c r="R157" t="s">
        <v>36</v>
      </c>
      <c r="S157" t="s">
        <v>36</v>
      </c>
      <c r="T157" t="s">
        <v>36</v>
      </c>
      <c r="U157" t="s">
        <v>37</v>
      </c>
      <c r="V157" t="s">
        <v>37</v>
      </c>
      <c r="W157" t="s">
        <v>37</v>
      </c>
      <c r="X157" t="s">
        <v>47</v>
      </c>
      <c r="Y157" t="s">
        <v>38</v>
      </c>
      <c r="Z157" t="s">
        <v>37</v>
      </c>
      <c r="AA157" t="s">
        <v>38</v>
      </c>
      <c r="AB157" t="s">
        <v>33</v>
      </c>
      <c r="AC157" t="s">
        <v>40</v>
      </c>
    </row>
    <row r="158" spans="1:29" x14ac:dyDescent="0.2">
      <c r="A158">
        <v>157</v>
      </c>
      <c r="B158" s="1">
        <v>46219.566851851851</v>
      </c>
      <c r="C158" s="1">
        <v>46219.567743055559</v>
      </c>
      <c r="D158" t="s">
        <v>29</v>
      </c>
      <c r="E158" s="2">
        <v>1983</v>
      </c>
      <c r="F158" t="s">
        <v>44</v>
      </c>
      <c r="G158" s="2">
        <v>2007</v>
      </c>
      <c r="H158" t="s">
        <v>50</v>
      </c>
      <c r="I158" t="s">
        <v>32</v>
      </c>
      <c r="J158" t="s">
        <v>33</v>
      </c>
      <c r="K158" t="s">
        <v>42</v>
      </c>
      <c r="L158" t="s">
        <v>84</v>
      </c>
      <c r="M158" t="s">
        <v>47</v>
      </c>
      <c r="N158" t="s">
        <v>47</v>
      </c>
      <c r="O158" t="s">
        <v>47</v>
      </c>
      <c r="P158" t="s">
        <v>39</v>
      </c>
      <c r="Q158" t="s">
        <v>39</v>
      </c>
      <c r="R158" t="s">
        <v>47</v>
      </c>
      <c r="S158" t="s">
        <v>47</v>
      </c>
      <c r="T158" t="s">
        <v>37</v>
      </c>
      <c r="U158" t="s">
        <v>39</v>
      </c>
      <c r="V158" t="s">
        <v>47</v>
      </c>
      <c r="W158" t="s">
        <v>47</v>
      </c>
      <c r="X158" t="s">
        <v>47</v>
      </c>
      <c r="Y158" t="s">
        <v>39</v>
      </c>
      <c r="Z158" t="s">
        <v>39</v>
      </c>
      <c r="AA158" t="s">
        <v>47</v>
      </c>
      <c r="AB158" t="s">
        <v>32</v>
      </c>
      <c r="AC158" t="s">
        <v>57</v>
      </c>
    </row>
    <row r="159" spans="1:29" x14ac:dyDescent="0.2">
      <c r="A159">
        <v>158</v>
      </c>
      <c r="B159" s="1">
        <v>46220.563611111109</v>
      </c>
      <c r="C159" s="1">
        <v>46220.565949074073</v>
      </c>
      <c r="D159" t="s">
        <v>29</v>
      </c>
      <c r="E159" s="2">
        <v>1966</v>
      </c>
      <c r="F159" t="s">
        <v>30</v>
      </c>
      <c r="G159" s="2">
        <v>1989</v>
      </c>
      <c r="H159" t="s">
        <v>111</v>
      </c>
      <c r="I159" t="s">
        <v>32</v>
      </c>
      <c r="J159" t="s">
        <v>33</v>
      </c>
      <c r="K159" t="s">
        <v>42</v>
      </c>
      <c r="L159" t="s">
        <v>46</v>
      </c>
      <c r="M159" t="s">
        <v>47</v>
      </c>
      <c r="N159" t="s">
        <v>37</v>
      </c>
      <c r="O159" t="s">
        <v>47</v>
      </c>
      <c r="P159" t="s">
        <v>39</v>
      </c>
      <c r="Q159" t="s">
        <v>39</v>
      </c>
      <c r="R159" t="s">
        <v>47</v>
      </c>
      <c r="S159" t="s">
        <v>47</v>
      </c>
      <c r="T159" t="s">
        <v>47</v>
      </c>
      <c r="U159" t="s">
        <v>47</v>
      </c>
      <c r="V159" t="s">
        <v>47</v>
      </c>
      <c r="W159" t="s">
        <v>47</v>
      </c>
      <c r="X159" t="s">
        <v>47</v>
      </c>
      <c r="Y159" t="s">
        <v>39</v>
      </c>
      <c r="Z159" t="s">
        <v>39</v>
      </c>
      <c r="AA159" t="s">
        <v>47</v>
      </c>
      <c r="AB159" t="s">
        <v>32</v>
      </c>
      <c r="AC159" t="s">
        <v>48</v>
      </c>
    </row>
    <row r="160" spans="1:29" x14ac:dyDescent="0.2">
      <c r="A160">
        <v>159</v>
      </c>
      <c r="B160" s="1">
        <v>46220.585081018522</v>
      </c>
      <c r="C160" s="1">
        <v>46220.588101851848</v>
      </c>
      <c r="D160" t="s">
        <v>29</v>
      </c>
      <c r="E160" s="2">
        <v>1976</v>
      </c>
      <c r="F160" t="s">
        <v>30</v>
      </c>
      <c r="G160" s="2">
        <v>1999</v>
      </c>
      <c r="H160" t="s">
        <v>111</v>
      </c>
      <c r="I160" t="s">
        <v>33</v>
      </c>
      <c r="J160" t="s">
        <v>33</v>
      </c>
      <c r="K160" t="s">
        <v>42</v>
      </c>
      <c r="L160" t="s">
        <v>46</v>
      </c>
      <c r="M160" t="s">
        <v>47</v>
      </c>
      <c r="N160" t="s">
        <v>47</v>
      </c>
      <c r="O160" t="s">
        <v>37</v>
      </c>
      <c r="P160" t="s">
        <v>37</v>
      </c>
      <c r="Q160" t="s">
        <v>39</v>
      </c>
      <c r="R160" t="s">
        <v>38</v>
      </c>
      <c r="S160" t="s">
        <v>38</v>
      </c>
      <c r="T160" t="s">
        <v>38</v>
      </c>
      <c r="U160" t="s">
        <v>37</v>
      </c>
      <c r="V160" t="s">
        <v>36</v>
      </c>
      <c r="W160" t="s">
        <v>47</v>
      </c>
      <c r="X160" t="s">
        <v>47</v>
      </c>
      <c r="Y160" t="s">
        <v>38</v>
      </c>
      <c r="Z160" t="s">
        <v>38</v>
      </c>
      <c r="AA160" t="s">
        <v>47</v>
      </c>
      <c r="AB160" t="s">
        <v>32</v>
      </c>
      <c r="AC160" t="s">
        <v>40</v>
      </c>
    </row>
    <row r="161" spans="1:29" x14ac:dyDescent="0.2">
      <c r="A161">
        <v>160</v>
      </c>
      <c r="B161" s="1">
        <v>46220.606122685182</v>
      </c>
      <c r="C161" s="1">
        <v>46220.651331018518</v>
      </c>
      <c r="D161" t="s">
        <v>29</v>
      </c>
      <c r="E161" s="2">
        <v>1990</v>
      </c>
      <c r="F161" t="s">
        <v>44</v>
      </c>
      <c r="G161" s="2">
        <v>2014</v>
      </c>
      <c r="H161" t="s">
        <v>77</v>
      </c>
      <c r="I161" t="s">
        <v>32</v>
      </c>
      <c r="J161" t="s">
        <v>33</v>
      </c>
      <c r="K161" t="s">
        <v>42</v>
      </c>
      <c r="L161" t="s">
        <v>74</v>
      </c>
      <c r="M161" t="s">
        <v>47</v>
      </c>
      <c r="N161" t="s">
        <v>47</v>
      </c>
      <c r="O161" t="s">
        <v>38</v>
      </c>
      <c r="P161" t="s">
        <v>39</v>
      </c>
      <c r="Q161" t="s">
        <v>39</v>
      </c>
      <c r="R161" t="s">
        <v>38</v>
      </c>
      <c r="S161" t="s">
        <v>47</v>
      </c>
      <c r="T161" t="s">
        <v>36</v>
      </c>
      <c r="U161" t="s">
        <v>39</v>
      </c>
      <c r="V161" t="s">
        <v>47</v>
      </c>
      <c r="W161" t="s">
        <v>36</v>
      </c>
      <c r="X161" t="s">
        <v>36</v>
      </c>
      <c r="Y161" t="s">
        <v>39</v>
      </c>
      <c r="Z161" t="s">
        <v>37</v>
      </c>
      <c r="AA161" t="s">
        <v>47</v>
      </c>
      <c r="AB161" t="s">
        <v>32</v>
      </c>
      <c r="AC161" t="s">
        <v>82</v>
      </c>
    </row>
    <row r="162" spans="1:29" x14ac:dyDescent="0.2">
      <c r="A162">
        <v>161</v>
      </c>
      <c r="B162" s="1">
        <v>46220.658645833333</v>
      </c>
      <c r="C162" s="1">
        <v>46220.660081018519</v>
      </c>
      <c r="D162" t="s">
        <v>29</v>
      </c>
      <c r="E162" s="2">
        <v>1980</v>
      </c>
      <c r="F162" t="s">
        <v>30</v>
      </c>
      <c r="G162" s="2">
        <v>2003</v>
      </c>
      <c r="H162" t="s">
        <v>45</v>
      </c>
      <c r="I162" t="s">
        <v>32</v>
      </c>
      <c r="J162" t="s">
        <v>33</v>
      </c>
      <c r="K162" t="s">
        <v>42</v>
      </c>
      <c r="L162" t="s">
        <v>43</v>
      </c>
      <c r="M162" t="s">
        <v>47</v>
      </c>
      <c r="N162" t="s">
        <v>47</v>
      </c>
      <c r="O162" t="s">
        <v>47</v>
      </c>
      <c r="P162" t="s">
        <v>38</v>
      </c>
      <c r="Q162" t="s">
        <v>39</v>
      </c>
      <c r="R162" t="s">
        <v>47</v>
      </c>
      <c r="S162" t="s">
        <v>47</v>
      </c>
      <c r="T162" t="s">
        <v>47</v>
      </c>
      <c r="U162" t="s">
        <v>39</v>
      </c>
      <c r="V162" t="s">
        <v>47</v>
      </c>
      <c r="W162" t="s">
        <v>47</v>
      </c>
      <c r="X162" t="s">
        <v>47</v>
      </c>
      <c r="Y162" t="s">
        <v>38</v>
      </c>
      <c r="Z162" t="s">
        <v>38</v>
      </c>
      <c r="AA162" t="s">
        <v>47</v>
      </c>
      <c r="AB162" t="s">
        <v>33</v>
      </c>
      <c r="AC162" t="s">
        <v>40</v>
      </c>
    </row>
    <row r="163" spans="1:29" x14ac:dyDescent="0.2">
      <c r="A163">
        <v>162</v>
      </c>
      <c r="B163" s="1">
        <v>46220.686192129629</v>
      </c>
      <c r="C163" s="1">
        <v>46220.688587962963</v>
      </c>
      <c r="D163" t="s">
        <v>29</v>
      </c>
      <c r="E163" s="2">
        <v>1989</v>
      </c>
      <c r="F163" t="s">
        <v>30</v>
      </c>
      <c r="G163" s="2">
        <v>2012</v>
      </c>
      <c r="H163" t="s">
        <v>41</v>
      </c>
      <c r="I163" t="s">
        <v>33</v>
      </c>
      <c r="J163" t="s">
        <v>33</v>
      </c>
      <c r="K163" t="s">
        <v>66</v>
      </c>
      <c r="L163" t="s">
        <v>64</v>
      </c>
      <c r="M163" t="s">
        <v>47</v>
      </c>
      <c r="N163" t="s">
        <v>38</v>
      </c>
      <c r="O163" t="s">
        <v>38</v>
      </c>
      <c r="P163" t="s">
        <v>37</v>
      </c>
      <c r="Q163" t="s">
        <v>39</v>
      </c>
      <c r="R163" t="s">
        <v>47</v>
      </c>
      <c r="S163" t="s">
        <v>38</v>
      </c>
      <c r="T163" t="s">
        <v>47</v>
      </c>
      <c r="U163" t="s">
        <v>37</v>
      </c>
      <c r="V163" t="s">
        <v>47</v>
      </c>
      <c r="W163" t="s">
        <v>47</v>
      </c>
      <c r="X163" t="s">
        <v>47</v>
      </c>
      <c r="Y163" t="s">
        <v>39</v>
      </c>
      <c r="Z163" t="s">
        <v>37</v>
      </c>
      <c r="AA163" t="s">
        <v>37</v>
      </c>
      <c r="AB163" t="s">
        <v>33</v>
      </c>
      <c r="AC163" t="s">
        <v>78</v>
      </c>
    </row>
    <row r="164" spans="1:29" x14ac:dyDescent="0.2">
      <c r="A164">
        <v>163</v>
      </c>
      <c r="B164" s="1">
        <v>46220.69127314815</v>
      </c>
      <c r="C164" s="1">
        <v>46220.693425925929</v>
      </c>
      <c r="D164" t="s">
        <v>29</v>
      </c>
      <c r="E164" s="2">
        <v>1984</v>
      </c>
      <c r="F164" t="s">
        <v>30</v>
      </c>
      <c r="G164" s="2">
        <v>2006</v>
      </c>
      <c r="H164" t="s">
        <v>45</v>
      </c>
      <c r="I164" t="s">
        <v>33</v>
      </c>
      <c r="J164" t="s">
        <v>33</v>
      </c>
      <c r="K164" t="s">
        <v>42</v>
      </c>
      <c r="L164" t="s">
        <v>46</v>
      </c>
      <c r="M164" t="s">
        <v>38</v>
      </c>
      <c r="N164" t="s">
        <v>38</v>
      </c>
      <c r="O164" t="s">
        <v>38</v>
      </c>
      <c r="P164" t="s">
        <v>37</v>
      </c>
      <c r="Q164" t="s">
        <v>37</v>
      </c>
      <c r="R164" t="s">
        <v>47</v>
      </c>
      <c r="S164" t="s">
        <v>47</v>
      </c>
      <c r="T164" t="s">
        <v>38</v>
      </c>
      <c r="U164" t="s">
        <v>39</v>
      </c>
      <c r="V164" t="s">
        <v>47</v>
      </c>
      <c r="W164" t="s">
        <v>47</v>
      </c>
      <c r="X164" t="s">
        <v>47</v>
      </c>
      <c r="Y164" t="s">
        <v>38</v>
      </c>
      <c r="Z164" t="s">
        <v>37</v>
      </c>
      <c r="AA164" t="s">
        <v>38</v>
      </c>
      <c r="AB164" t="s">
        <v>33</v>
      </c>
      <c r="AC164" t="s">
        <v>40</v>
      </c>
    </row>
    <row r="165" spans="1:29" x14ac:dyDescent="0.2">
      <c r="A165">
        <v>164</v>
      </c>
      <c r="B165" s="1">
        <v>46221.396238425928</v>
      </c>
      <c r="C165" s="1">
        <v>46221.398611111108</v>
      </c>
      <c r="D165" t="s">
        <v>29</v>
      </c>
      <c r="E165" s="2">
        <v>1992</v>
      </c>
      <c r="F165" t="s">
        <v>30</v>
      </c>
      <c r="G165" s="2">
        <v>2015</v>
      </c>
      <c r="H165" t="s">
        <v>45</v>
      </c>
      <c r="I165" t="s">
        <v>32</v>
      </c>
      <c r="J165" t="s">
        <v>33</v>
      </c>
      <c r="K165" t="s">
        <v>66</v>
      </c>
      <c r="L165" t="s">
        <v>43</v>
      </c>
      <c r="M165" t="s">
        <v>38</v>
      </c>
      <c r="N165" t="s">
        <v>38</v>
      </c>
      <c r="O165" t="s">
        <v>36</v>
      </c>
      <c r="P165" t="s">
        <v>36</v>
      </c>
      <c r="Q165" t="s">
        <v>37</v>
      </c>
      <c r="R165" t="s">
        <v>38</v>
      </c>
      <c r="S165" t="s">
        <v>38</v>
      </c>
      <c r="T165" t="s">
        <v>37</v>
      </c>
      <c r="U165" t="s">
        <v>37</v>
      </c>
      <c r="V165" t="s">
        <v>36</v>
      </c>
      <c r="W165" t="s">
        <v>36</v>
      </c>
      <c r="X165" t="s">
        <v>36</v>
      </c>
      <c r="Y165" t="s">
        <v>38</v>
      </c>
      <c r="Z165" t="s">
        <v>37</v>
      </c>
      <c r="AA165" t="s">
        <v>38</v>
      </c>
      <c r="AB165" t="s">
        <v>33</v>
      </c>
      <c r="AC165" t="s">
        <v>40</v>
      </c>
    </row>
    <row r="166" spans="1:29" x14ac:dyDescent="0.2">
      <c r="A166">
        <v>165</v>
      </c>
      <c r="B166" s="1">
        <v>46221.456608796296</v>
      </c>
      <c r="C166" s="1">
        <v>46221.457372685189</v>
      </c>
      <c r="D166" t="s">
        <v>29</v>
      </c>
      <c r="E166" s="2">
        <v>1989</v>
      </c>
      <c r="F166" t="s">
        <v>44</v>
      </c>
      <c r="G166" s="2">
        <v>2013</v>
      </c>
      <c r="H166" t="s">
        <v>77</v>
      </c>
      <c r="I166" t="s">
        <v>32</v>
      </c>
      <c r="J166" t="s">
        <v>33</v>
      </c>
      <c r="K166" t="s">
        <v>42</v>
      </c>
      <c r="L166" t="s">
        <v>51</v>
      </c>
      <c r="M166" t="s">
        <v>47</v>
      </c>
      <c r="N166" t="s">
        <v>47</v>
      </c>
      <c r="O166" t="s">
        <v>47</v>
      </c>
      <c r="P166" t="s">
        <v>39</v>
      </c>
      <c r="Q166" t="s">
        <v>39</v>
      </c>
      <c r="R166" t="s">
        <v>47</v>
      </c>
      <c r="S166" t="s">
        <v>47</v>
      </c>
      <c r="T166" t="s">
        <v>37</v>
      </c>
      <c r="U166" t="s">
        <v>39</v>
      </c>
      <c r="V166" t="s">
        <v>47</v>
      </c>
      <c r="W166" t="s">
        <v>36</v>
      </c>
      <c r="X166" t="s">
        <v>36</v>
      </c>
      <c r="Y166" t="s">
        <v>39</v>
      </c>
      <c r="Z166" t="s">
        <v>37</v>
      </c>
      <c r="AA166" t="s">
        <v>47</v>
      </c>
      <c r="AB166" t="s">
        <v>33</v>
      </c>
      <c r="AC166" t="s">
        <v>82</v>
      </c>
    </row>
    <row r="167" spans="1:29" x14ac:dyDescent="0.2">
      <c r="A167">
        <v>166</v>
      </c>
      <c r="B167" s="1">
        <v>46221.457453703704</v>
      </c>
      <c r="C167" s="1">
        <v>46221.458553240744</v>
      </c>
      <c r="D167" t="s">
        <v>29</v>
      </c>
      <c r="E167" s="2">
        <v>1984</v>
      </c>
      <c r="F167" t="s">
        <v>30</v>
      </c>
      <c r="G167" s="2">
        <v>2008</v>
      </c>
      <c r="H167" t="s">
        <v>96</v>
      </c>
      <c r="I167" t="s">
        <v>32</v>
      </c>
      <c r="J167" t="s">
        <v>33</v>
      </c>
      <c r="K167" t="s">
        <v>42</v>
      </c>
      <c r="L167" t="s">
        <v>83</v>
      </c>
      <c r="M167" t="s">
        <v>38</v>
      </c>
      <c r="N167" t="s">
        <v>36</v>
      </c>
      <c r="O167" t="s">
        <v>36</v>
      </c>
      <c r="P167" t="s">
        <v>39</v>
      </c>
      <c r="Q167" t="s">
        <v>39</v>
      </c>
      <c r="R167" t="s">
        <v>47</v>
      </c>
      <c r="S167" t="s">
        <v>47</v>
      </c>
      <c r="T167" t="s">
        <v>38</v>
      </c>
      <c r="U167" t="s">
        <v>39</v>
      </c>
      <c r="V167" t="s">
        <v>47</v>
      </c>
      <c r="W167" t="s">
        <v>36</v>
      </c>
      <c r="X167" t="s">
        <v>36</v>
      </c>
      <c r="Y167" t="s">
        <v>39</v>
      </c>
      <c r="Z167" t="s">
        <v>37</v>
      </c>
      <c r="AA167" t="s">
        <v>47</v>
      </c>
      <c r="AB167" t="s">
        <v>32</v>
      </c>
      <c r="AC167" t="s">
        <v>57</v>
      </c>
    </row>
    <row r="168" spans="1:29" x14ac:dyDescent="0.2">
      <c r="A168">
        <v>167</v>
      </c>
      <c r="B168" s="1">
        <v>46221.7578587963</v>
      </c>
      <c r="C168" s="1">
        <v>46221.76185185185</v>
      </c>
      <c r="D168" t="s">
        <v>29</v>
      </c>
      <c r="E168" s="2">
        <v>1985</v>
      </c>
      <c r="F168" t="s">
        <v>30</v>
      </c>
      <c r="G168" s="2">
        <v>2008</v>
      </c>
      <c r="H168" t="s">
        <v>116</v>
      </c>
      <c r="I168" t="s">
        <v>33</v>
      </c>
      <c r="J168" t="s">
        <v>33</v>
      </c>
      <c r="K168" t="s">
        <v>66</v>
      </c>
      <c r="L168" t="s">
        <v>98</v>
      </c>
      <c r="M168" t="s">
        <v>38</v>
      </c>
      <c r="N168" t="s">
        <v>38</v>
      </c>
      <c r="O168" t="s">
        <v>37</v>
      </c>
      <c r="P168" t="s">
        <v>37</v>
      </c>
      <c r="Q168" t="s">
        <v>39</v>
      </c>
      <c r="R168" t="s">
        <v>47</v>
      </c>
      <c r="S168" t="s">
        <v>38</v>
      </c>
      <c r="T168" t="s">
        <v>47</v>
      </c>
      <c r="U168" t="s">
        <v>47</v>
      </c>
      <c r="V168" t="s">
        <v>38</v>
      </c>
      <c r="W168" t="s">
        <v>38</v>
      </c>
      <c r="X168" t="s">
        <v>38</v>
      </c>
      <c r="Y168" t="s">
        <v>37</v>
      </c>
      <c r="Z168" t="s">
        <v>37</v>
      </c>
      <c r="AA168" t="s">
        <v>38</v>
      </c>
      <c r="AB168" t="s">
        <v>33</v>
      </c>
      <c r="AC168" t="s">
        <v>55</v>
      </c>
    </row>
    <row r="169" spans="1:29" x14ac:dyDescent="0.2">
      <c r="A169">
        <v>168</v>
      </c>
      <c r="B169" s="1">
        <v>46221.817372685182</v>
      </c>
      <c r="C169" s="1">
        <v>46221.819247685184</v>
      </c>
      <c r="D169" t="s">
        <v>29</v>
      </c>
      <c r="E169" s="2">
        <v>1994</v>
      </c>
      <c r="F169" t="s">
        <v>30</v>
      </c>
      <c r="G169" s="2">
        <v>2017</v>
      </c>
      <c r="H169" t="s">
        <v>50</v>
      </c>
      <c r="I169" t="s">
        <v>32</v>
      </c>
      <c r="J169" t="s">
        <v>33</v>
      </c>
      <c r="K169" t="s">
        <v>34</v>
      </c>
      <c r="L169" t="s">
        <v>43</v>
      </c>
      <c r="M169" t="s">
        <v>38</v>
      </c>
      <c r="N169" t="s">
        <v>36</v>
      </c>
      <c r="O169" t="s">
        <v>38</v>
      </c>
      <c r="P169" t="s">
        <v>37</v>
      </c>
      <c r="Q169" t="s">
        <v>37</v>
      </c>
      <c r="R169" t="s">
        <v>38</v>
      </c>
      <c r="S169" t="s">
        <v>47</v>
      </c>
      <c r="T169" t="s">
        <v>38</v>
      </c>
      <c r="U169" t="s">
        <v>37</v>
      </c>
      <c r="V169" t="s">
        <v>38</v>
      </c>
      <c r="W169" t="s">
        <v>36</v>
      </c>
      <c r="X169" t="s">
        <v>37</v>
      </c>
      <c r="Y169" t="s">
        <v>38</v>
      </c>
      <c r="Z169" t="s">
        <v>37</v>
      </c>
      <c r="AA169" t="s">
        <v>38</v>
      </c>
      <c r="AB169" t="s">
        <v>32</v>
      </c>
      <c r="AC169" t="s">
        <v>40</v>
      </c>
    </row>
    <row r="170" spans="1:29" x14ac:dyDescent="0.2">
      <c r="A170">
        <v>169</v>
      </c>
      <c r="B170" s="1">
        <v>46221.830891203703</v>
      </c>
      <c r="C170" s="1">
        <v>46221.831886574073</v>
      </c>
      <c r="D170" t="s">
        <v>29</v>
      </c>
      <c r="E170" s="2">
        <v>1980</v>
      </c>
      <c r="F170" t="s">
        <v>30</v>
      </c>
      <c r="G170" s="2">
        <v>2004</v>
      </c>
      <c r="H170" t="s">
        <v>77</v>
      </c>
      <c r="I170" t="s">
        <v>32</v>
      </c>
      <c r="J170" t="s">
        <v>33</v>
      </c>
      <c r="K170" t="s">
        <v>42</v>
      </c>
      <c r="L170" t="s">
        <v>46</v>
      </c>
      <c r="M170" t="s">
        <v>47</v>
      </c>
      <c r="N170" t="s">
        <v>37</v>
      </c>
      <c r="O170" t="s">
        <v>47</v>
      </c>
      <c r="P170" t="s">
        <v>47</v>
      </c>
      <c r="Q170" t="s">
        <v>39</v>
      </c>
      <c r="R170" t="s">
        <v>47</v>
      </c>
      <c r="S170" t="s">
        <v>47</v>
      </c>
      <c r="T170" t="s">
        <v>47</v>
      </c>
      <c r="U170" t="s">
        <v>39</v>
      </c>
      <c r="V170" t="s">
        <v>47</v>
      </c>
      <c r="W170" t="s">
        <v>47</v>
      </c>
      <c r="X170" t="s">
        <v>36</v>
      </c>
      <c r="Y170" t="s">
        <v>39</v>
      </c>
      <c r="Z170" t="s">
        <v>37</v>
      </c>
      <c r="AA170" t="s">
        <v>47</v>
      </c>
      <c r="AB170" t="s">
        <v>33</v>
      </c>
      <c r="AC170" t="s">
        <v>82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00B9-7101-944E-B845-131F43E5B6AA}">
  <sheetPr>
    <tabColor theme="8"/>
  </sheetPr>
  <dimension ref="A1:BF170"/>
  <sheetViews>
    <sheetView tabSelected="1" topLeftCell="AZ1" workbookViewId="0">
      <selection activeCell="L14" sqref="L14"/>
    </sheetView>
  </sheetViews>
  <sheetFormatPr baseColWidth="10" defaultRowHeight="15" x14ac:dyDescent="0.2"/>
  <cols>
    <col min="1" max="1" width="8.83203125" customWidth="1"/>
    <col min="2" max="2" width="20.1640625" customWidth="1"/>
    <col min="3" max="3" width="21" customWidth="1"/>
    <col min="4" max="6" width="30.83203125" customWidth="1"/>
    <col min="7" max="7" width="21.83203125" customWidth="1"/>
    <col min="8" max="8" width="40.5" customWidth="1"/>
    <col min="9" max="9" width="30.83203125" customWidth="1"/>
    <col min="10" max="10" width="20.33203125" customWidth="1"/>
    <col min="11" max="28" width="30.83203125" customWidth="1"/>
    <col min="29" max="29" width="53.5" customWidth="1"/>
    <col min="55" max="55" width="18.33203125" customWidth="1"/>
    <col min="57" max="57" width="19.33203125" customWidth="1"/>
    <col min="58" max="58" width="19" customWidth="1"/>
  </cols>
  <sheetData>
    <row r="1" spans="1:58" s="3" customFormat="1" ht="8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F1" s="3" t="s">
        <v>118</v>
      </c>
      <c r="AG1" s="3" t="s">
        <v>117</v>
      </c>
      <c r="AH1" s="3" t="s">
        <v>119</v>
      </c>
      <c r="AI1" s="3" t="s">
        <v>120</v>
      </c>
      <c r="AJ1" s="3" t="s">
        <v>121</v>
      </c>
      <c r="AK1" s="3" t="s">
        <v>122</v>
      </c>
      <c r="AL1" s="3" t="s">
        <v>123</v>
      </c>
      <c r="AM1" s="3" t="s">
        <v>124</v>
      </c>
      <c r="AN1" s="3" t="s">
        <v>125</v>
      </c>
      <c r="AO1" s="3" t="s">
        <v>126</v>
      </c>
      <c r="AP1" s="3" t="s">
        <v>127</v>
      </c>
      <c r="AQ1" s="3" t="s">
        <v>128</v>
      </c>
      <c r="AR1" s="3" t="s">
        <v>129</v>
      </c>
      <c r="AS1" s="3" t="s">
        <v>130</v>
      </c>
      <c r="AT1" s="3" t="s">
        <v>131</v>
      </c>
      <c r="AU1" s="3" t="s">
        <v>132</v>
      </c>
      <c r="AV1" s="3" t="s">
        <v>133</v>
      </c>
      <c r="AW1" s="3" t="s">
        <v>134</v>
      </c>
      <c r="AX1" s="3" t="s">
        <v>135</v>
      </c>
      <c r="AY1" s="3" t="s">
        <v>138</v>
      </c>
      <c r="AZ1" s="3" t="s">
        <v>140</v>
      </c>
      <c r="BA1" s="3" t="s">
        <v>136</v>
      </c>
      <c r="BB1" s="3" t="s">
        <v>141</v>
      </c>
      <c r="BC1" s="3" t="s">
        <v>142</v>
      </c>
      <c r="BD1" s="3" t="s">
        <v>137</v>
      </c>
      <c r="BE1" s="3" t="s">
        <v>146</v>
      </c>
      <c r="BF1" s="3" t="s">
        <v>145</v>
      </c>
    </row>
    <row r="2" spans="1:58" ht="16" x14ac:dyDescent="0.2">
      <c r="A2" s="4">
        <v>5</v>
      </c>
      <c r="B2" s="5">
        <v>46109.780162037037</v>
      </c>
      <c r="C2" s="5">
        <v>46109.782314814816</v>
      </c>
      <c r="D2" s="4" t="s">
        <v>29</v>
      </c>
      <c r="E2" s="6">
        <v>1995</v>
      </c>
      <c r="F2" s="4" t="s">
        <v>30</v>
      </c>
      <c r="G2" s="6">
        <v>2019</v>
      </c>
      <c r="H2" s="4" t="s">
        <v>50</v>
      </c>
      <c r="I2" s="4" t="s">
        <v>32</v>
      </c>
      <c r="J2" s="4" t="s">
        <v>32</v>
      </c>
      <c r="K2" s="4" t="s">
        <v>34</v>
      </c>
      <c r="L2" s="4" t="s">
        <v>51</v>
      </c>
      <c r="M2" s="4" t="s">
        <v>36</v>
      </c>
      <c r="N2" s="4" t="s">
        <v>36</v>
      </c>
      <c r="O2" s="4" t="s">
        <v>38</v>
      </c>
      <c r="P2" s="4" t="s">
        <v>37</v>
      </c>
      <c r="Q2" s="4" t="s">
        <v>37</v>
      </c>
      <c r="R2" s="4" t="s">
        <v>36</v>
      </c>
      <c r="S2" s="4" t="s">
        <v>38</v>
      </c>
      <c r="T2" s="4" t="s">
        <v>38</v>
      </c>
      <c r="U2" s="4" t="s">
        <v>37</v>
      </c>
      <c r="V2" s="4" t="s">
        <v>38</v>
      </c>
      <c r="W2" s="4" t="s">
        <v>38</v>
      </c>
      <c r="X2" s="4" t="s">
        <v>36</v>
      </c>
      <c r="Y2" s="4" t="s">
        <v>38</v>
      </c>
      <c r="Z2" s="4" t="s">
        <v>37</v>
      </c>
      <c r="AA2" s="4" t="s">
        <v>36</v>
      </c>
      <c r="AB2" s="4" t="s">
        <v>32</v>
      </c>
      <c r="AC2" s="4" t="s">
        <v>52</v>
      </c>
      <c r="AF2" s="7">
        <f>Table13[[#This Row],[Completion time]]-Table13[[#This Row],[Start time]]</f>
        <v>2.1527777789742686E-3</v>
      </c>
      <c r="AG2" s="8">
        <f>2026-Table13[[#This Row],[What is your year of birth? ]]</f>
        <v>31</v>
      </c>
      <c r="AH2">
        <f>2026-Table13[[#This Row],[Please indicate the year you graduated from the Faculty of Medicine]]</f>
        <v>7</v>
      </c>
      <c r="AI2">
        <f>IF(OR(M2="Strongly disagree", M2="Disagree"), 1, 0)</f>
        <v>0</v>
      </c>
      <c r="AJ2">
        <f>IF(OR(N2="Strongly disagree", N2="Disagree"), 1, 0)</f>
        <v>0</v>
      </c>
      <c r="AK2">
        <f t="shared" ref="AK2:AW2" si="0">IF(OR(O2="Strongly disagree", O2="Disagree"), 1, 0)</f>
        <v>1</v>
      </c>
      <c r="AL2">
        <f t="shared" si="0"/>
        <v>0</v>
      </c>
      <c r="AM2">
        <f>IF(OR(Q2="Strongly agree", Q2="Agree"), 1, 0)</f>
        <v>1</v>
      </c>
      <c r="AN2">
        <f t="shared" si="0"/>
        <v>0</v>
      </c>
      <c r="AO2">
        <f t="shared" si="0"/>
        <v>1</v>
      </c>
      <c r="AP2">
        <f t="shared" si="0"/>
        <v>1</v>
      </c>
      <c r="AQ2">
        <f>IF(OR(U2="Strongly agree", U2="Agree"), 1, 0)</f>
        <v>1</v>
      </c>
      <c r="AR2">
        <f t="shared" si="0"/>
        <v>1</v>
      </c>
      <c r="AS2">
        <f t="shared" si="0"/>
        <v>1</v>
      </c>
      <c r="AT2">
        <f t="shared" si="0"/>
        <v>0</v>
      </c>
      <c r="AU2">
        <f t="shared" si="0"/>
        <v>1</v>
      </c>
      <c r="AV2">
        <f t="shared" si="0"/>
        <v>0</v>
      </c>
      <c r="AW2">
        <f t="shared" si="0"/>
        <v>0</v>
      </c>
      <c r="AX2">
        <f>SUM(AI2:AW2)</f>
        <v>8</v>
      </c>
      <c r="AY2">
        <f>IF(Table13[[#This Row],[Please choose your sex]]="Male",0,1)</f>
        <v>0</v>
      </c>
      <c r="AZ2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2">
        <f>IF(Table13[[#This Row],[Do you hold a subspecialty qualification (degree / certificate) in Reproductive Endocrinology and Infertility?
]]="No",0,1)</f>
        <v>0</v>
      </c>
      <c r="BB2">
        <f>IF(Table13[[#This Row],[Do you provide clinical care for the management of infertility?]]="No",0,1)</f>
        <v>0</v>
      </c>
      <c r="BC2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2">
        <f>IF(Table13[[#This Row],[Do you have access to evidence-based clinical guidelines at your workplace?]]="No",0,1)</f>
        <v>0</v>
      </c>
      <c r="BE2">
        <f>IF(OR(Table13[[#This Row],[What is your practice setting? (Select all that apply.)]]="University hospital ;",Table13[[#This Row],[What is your practice setting? (Select all that apply.)]]="Public hospital ;"),1,0)</f>
        <v>0</v>
      </c>
      <c r="BF2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3" spans="1:58" ht="16" x14ac:dyDescent="0.2">
      <c r="A3" s="4">
        <v>6</v>
      </c>
      <c r="B3" s="5">
        <v>46109.786134259259</v>
      </c>
      <c r="C3" s="5">
        <v>46109.788923611108</v>
      </c>
      <c r="D3" s="4" t="s">
        <v>29</v>
      </c>
      <c r="E3" s="6">
        <v>1995</v>
      </c>
      <c r="F3" s="4" t="s">
        <v>44</v>
      </c>
      <c r="G3" s="6">
        <v>2020</v>
      </c>
      <c r="H3" s="4" t="s">
        <v>53</v>
      </c>
      <c r="I3" s="4" t="s">
        <v>32</v>
      </c>
      <c r="J3" s="4" t="s">
        <v>32</v>
      </c>
      <c r="K3" s="4" t="s">
        <v>34</v>
      </c>
      <c r="L3" s="4" t="s">
        <v>43</v>
      </c>
      <c r="M3" s="4" t="s">
        <v>37</v>
      </c>
      <c r="N3" s="4" t="s">
        <v>36</v>
      </c>
      <c r="O3" s="4" t="s">
        <v>37</v>
      </c>
      <c r="P3" s="4" t="s">
        <v>37</v>
      </c>
      <c r="Q3" s="4" t="s">
        <v>37</v>
      </c>
      <c r="R3" s="4" t="s">
        <v>38</v>
      </c>
      <c r="S3" s="4" t="s">
        <v>37</v>
      </c>
      <c r="T3" s="4" t="s">
        <v>37</v>
      </c>
      <c r="U3" s="4" t="s">
        <v>37</v>
      </c>
      <c r="V3" s="4" t="s">
        <v>36</v>
      </c>
      <c r="W3" s="4" t="s">
        <v>36</v>
      </c>
      <c r="X3" s="4" t="s">
        <v>36</v>
      </c>
      <c r="Y3" s="4" t="s">
        <v>36</v>
      </c>
      <c r="Z3" s="4" t="s">
        <v>36</v>
      </c>
      <c r="AA3" s="4" t="s">
        <v>36</v>
      </c>
      <c r="AB3" s="4" t="s">
        <v>33</v>
      </c>
      <c r="AC3" s="4" t="s">
        <v>40</v>
      </c>
      <c r="AF3" s="7">
        <f>Table13[[#This Row],[Completion time]]-Table13[[#This Row],[Start time]]</f>
        <v>2.78935184906004E-3</v>
      </c>
      <c r="AG3" s="8">
        <f>2026-Table13[[#This Row],[What is your year of birth? ]]</f>
        <v>31</v>
      </c>
      <c r="AH3">
        <f>2026-Table13[[#This Row],[Please indicate the year you graduated from the Faculty of Medicine]]</f>
        <v>6</v>
      </c>
      <c r="AI3">
        <f t="shared" ref="AI3:AI66" si="1">IF(OR(M3="Strongly disagree", M3="Disagree"), 1, 0)</f>
        <v>0</v>
      </c>
      <c r="AJ3">
        <f t="shared" ref="AJ3:AJ66" si="2">IF(OR(N3="Strongly disagree", N3="Disagree"), 1, 0)</f>
        <v>0</v>
      </c>
      <c r="AK3">
        <f t="shared" ref="AK3:AK66" si="3">IF(OR(O3="Strongly disagree", O3="Disagree"), 1, 0)</f>
        <v>0</v>
      </c>
      <c r="AL3">
        <f t="shared" ref="AL3:AL66" si="4">IF(OR(P3="Strongly disagree", P3="Disagree"), 1, 0)</f>
        <v>0</v>
      </c>
      <c r="AM3">
        <f t="shared" ref="AM3:AM66" si="5">IF(OR(Q3="Strongly agree", Q3="Agree"), 1, 0)</f>
        <v>1</v>
      </c>
      <c r="AN3">
        <f t="shared" ref="AN3:AN66" si="6">IF(OR(R3="Strongly disagree", R3="Disagree"), 1, 0)</f>
        <v>1</v>
      </c>
      <c r="AO3">
        <f t="shared" ref="AO3:AO66" si="7">IF(OR(S3="Strongly disagree", S3="Disagree"), 1, 0)</f>
        <v>0</v>
      </c>
      <c r="AP3">
        <f t="shared" ref="AP3:AP66" si="8">IF(OR(T3="Strongly disagree", T3="Disagree"), 1, 0)</f>
        <v>0</v>
      </c>
      <c r="AQ3">
        <f t="shared" ref="AQ3:AQ66" si="9">IF(OR(U3="Strongly agree", U3="Agree"), 1, 0)</f>
        <v>1</v>
      </c>
      <c r="AR3">
        <f t="shared" ref="AR3:AR66" si="10">IF(OR(V3="Strongly disagree", V3="Disagree"), 1, 0)</f>
        <v>0</v>
      </c>
      <c r="AS3">
        <f t="shared" ref="AS3:AS66" si="11">IF(OR(W3="Strongly disagree", W3="Disagree"), 1, 0)</f>
        <v>0</v>
      </c>
      <c r="AT3">
        <f t="shared" ref="AT3:AT66" si="12">IF(OR(X3="Strongly disagree", X3="Disagree"), 1, 0)</f>
        <v>0</v>
      </c>
      <c r="AU3">
        <f t="shared" ref="AU3:AU66" si="13">IF(OR(Y3="Strongly disagree", Y3="Disagree"), 1, 0)</f>
        <v>0</v>
      </c>
      <c r="AV3">
        <f t="shared" ref="AV3:AV66" si="14">IF(OR(Z3="Strongly disagree", Z3="Disagree"), 1, 0)</f>
        <v>0</v>
      </c>
      <c r="AW3">
        <f t="shared" ref="AW3:AW66" si="15">IF(OR(AA3="Strongly disagree", AA3="Disagree"), 1, 0)</f>
        <v>0</v>
      </c>
      <c r="AX3">
        <f t="shared" ref="AX3:AX66" si="16">SUM(AI3:AW3)</f>
        <v>3</v>
      </c>
      <c r="AY3">
        <f>IF(Table13[[#This Row],[Please choose your sex]]="Male",0,1)</f>
        <v>1</v>
      </c>
      <c r="AZ3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3">
        <f>IF(Table13[[#This Row],[Do you hold a subspecialty qualification (degree / certificate) in Reproductive Endocrinology and Infertility?
]]="No",0,1)</f>
        <v>0</v>
      </c>
      <c r="BB3">
        <f>IF(Table13[[#This Row],[Do you provide clinical care for the management of infertility?]]="No",0,1)</f>
        <v>0</v>
      </c>
      <c r="BC3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3">
        <f>IF(Table13[[#This Row],[Do you have access to evidence-based clinical guidelines at your workplace?]]="No",0,1)</f>
        <v>1</v>
      </c>
      <c r="BE3">
        <f>IF(OR(Table13[[#This Row],[What is your practice setting? (Select all that apply.)]]="University hospital ;",Table13[[#This Row],[What is your practice setting? (Select all that apply.)]]="Public hospital ;"),1,0)</f>
        <v>1</v>
      </c>
      <c r="BF3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4" spans="1:58" ht="16" x14ac:dyDescent="0.2">
      <c r="A4" s="4">
        <v>14</v>
      </c>
      <c r="B4" s="5">
        <v>46112.654722222222</v>
      </c>
      <c r="C4" s="5">
        <v>46112.664965277778</v>
      </c>
      <c r="D4" s="4" t="s">
        <v>29</v>
      </c>
      <c r="E4" s="6">
        <v>1994</v>
      </c>
      <c r="F4" s="4" t="s">
        <v>44</v>
      </c>
      <c r="G4" s="6">
        <v>2018</v>
      </c>
      <c r="H4" s="4" t="s">
        <v>50</v>
      </c>
      <c r="I4" s="4" t="s">
        <v>32</v>
      </c>
      <c r="J4" s="4" t="s">
        <v>32</v>
      </c>
      <c r="K4" s="4" t="s">
        <v>34</v>
      </c>
      <c r="L4" s="4" t="s">
        <v>51</v>
      </c>
      <c r="M4" s="4" t="s">
        <v>39</v>
      </c>
      <c r="N4" s="4" t="s">
        <v>36</v>
      </c>
      <c r="O4" s="4" t="s">
        <v>37</v>
      </c>
      <c r="P4" s="4" t="s">
        <v>36</v>
      </c>
      <c r="Q4" s="4" t="s">
        <v>37</v>
      </c>
      <c r="R4" s="4" t="s">
        <v>37</v>
      </c>
      <c r="S4" s="4" t="s">
        <v>36</v>
      </c>
      <c r="T4" s="4" t="s">
        <v>38</v>
      </c>
      <c r="U4" s="4" t="s">
        <v>37</v>
      </c>
      <c r="V4" s="4" t="s">
        <v>37</v>
      </c>
      <c r="W4" s="4" t="s">
        <v>36</v>
      </c>
      <c r="X4" s="4" t="s">
        <v>36</v>
      </c>
      <c r="Y4" s="4" t="s">
        <v>36</v>
      </c>
      <c r="Z4" s="4" t="s">
        <v>36</v>
      </c>
      <c r="AA4" s="4" t="s">
        <v>36</v>
      </c>
      <c r="AB4" s="4" t="s">
        <v>33</v>
      </c>
      <c r="AC4" s="4" t="s">
        <v>48</v>
      </c>
      <c r="AF4" s="7">
        <f>Table13[[#This Row],[Completion time]]-Table13[[#This Row],[Start time]]</f>
        <v>1.0243055556202307E-2</v>
      </c>
      <c r="AG4" s="8">
        <f>2026-Table13[[#This Row],[What is your year of birth? ]]</f>
        <v>32</v>
      </c>
      <c r="AH4">
        <f>2026-Table13[[#This Row],[Please indicate the year you graduated from the Faculty of Medicine]]</f>
        <v>8</v>
      </c>
      <c r="AI4">
        <f t="shared" si="1"/>
        <v>0</v>
      </c>
      <c r="AJ4">
        <f t="shared" si="2"/>
        <v>0</v>
      </c>
      <c r="AK4">
        <f t="shared" si="3"/>
        <v>0</v>
      </c>
      <c r="AL4">
        <f t="shared" si="4"/>
        <v>0</v>
      </c>
      <c r="AM4">
        <f t="shared" si="5"/>
        <v>1</v>
      </c>
      <c r="AN4">
        <f t="shared" si="6"/>
        <v>0</v>
      </c>
      <c r="AO4">
        <f t="shared" si="7"/>
        <v>0</v>
      </c>
      <c r="AP4">
        <f t="shared" si="8"/>
        <v>1</v>
      </c>
      <c r="AQ4">
        <f t="shared" si="9"/>
        <v>1</v>
      </c>
      <c r="AR4">
        <f t="shared" si="10"/>
        <v>0</v>
      </c>
      <c r="AS4">
        <f t="shared" si="11"/>
        <v>0</v>
      </c>
      <c r="AT4">
        <f t="shared" si="12"/>
        <v>0</v>
      </c>
      <c r="AU4">
        <f t="shared" si="13"/>
        <v>0</v>
      </c>
      <c r="AV4">
        <f t="shared" si="14"/>
        <v>0</v>
      </c>
      <c r="AW4">
        <f t="shared" si="15"/>
        <v>0</v>
      </c>
      <c r="AX4">
        <f t="shared" si="16"/>
        <v>3</v>
      </c>
      <c r="AY4">
        <f>IF(Table13[[#This Row],[Please choose your sex]]="Male",0,1)</f>
        <v>1</v>
      </c>
      <c r="AZ4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4">
        <f>IF(Table13[[#This Row],[Do you hold a subspecialty qualification (degree / certificate) in Reproductive Endocrinology and Infertility?
]]="No",0,1)</f>
        <v>0</v>
      </c>
      <c r="BB4">
        <f>IF(Table13[[#This Row],[Do you provide clinical care for the management of infertility?]]="No",0,1)</f>
        <v>0</v>
      </c>
      <c r="BC4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4">
        <f>IF(Table13[[#This Row],[Do you have access to evidence-based clinical guidelines at your workplace?]]="No",0,1)</f>
        <v>1</v>
      </c>
      <c r="BE4">
        <f>IF(OR(Table13[[#This Row],[What is your practice setting? (Select all that apply.)]]="University hospital ;",Table13[[#This Row],[What is your practice setting? (Select all that apply.)]]="Public hospital ;"),1,0)</f>
        <v>0</v>
      </c>
      <c r="BF4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5" spans="1:58" ht="16" x14ac:dyDescent="0.2">
      <c r="A5" s="4">
        <v>16</v>
      </c>
      <c r="B5" s="5">
        <v>46113.518611111111</v>
      </c>
      <c r="C5" s="5">
        <v>46113.52584490741</v>
      </c>
      <c r="D5" s="4" t="s">
        <v>29</v>
      </c>
      <c r="E5" s="6">
        <v>1996</v>
      </c>
      <c r="F5" s="4" t="s">
        <v>30</v>
      </c>
      <c r="G5" s="6">
        <v>2020</v>
      </c>
      <c r="H5" s="4" t="s">
        <v>50</v>
      </c>
      <c r="I5" s="4" t="s">
        <v>32</v>
      </c>
      <c r="J5" s="4" t="s">
        <v>32</v>
      </c>
      <c r="K5" s="4" t="s">
        <v>34</v>
      </c>
      <c r="L5" s="4" t="s">
        <v>62</v>
      </c>
      <c r="M5" s="4" t="s">
        <v>38</v>
      </c>
      <c r="N5" s="4" t="s">
        <v>36</v>
      </c>
      <c r="O5" s="4" t="s">
        <v>37</v>
      </c>
      <c r="P5" s="4" t="s">
        <v>37</v>
      </c>
      <c r="Q5" s="4" t="s">
        <v>37</v>
      </c>
      <c r="R5" s="4" t="s">
        <v>36</v>
      </c>
      <c r="S5" s="4" t="s">
        <v>37</v>
      </c>
      <c r="T5" s="4" t="s">
        <v>39</v>
      </c>
      <c r="U5" s="4" t="s">
        <v>37</v>
      </c>
      <c r="V5" s="4" t="s">
        <v>37</v>
      </c>
      <c r="W5" s="4" t="s">
        <v>36</v>
      </c>
      <c r="X5" s="4" t="s">
        <v>37</v>
      </c>
      <c r="Y5" s="4" t="s">
        <v>36</v>
      </c>
      <c r="Z5" s="4" t="s">
        <v>37</v>
      </c>
      <c r="AA5" s="4" t="s">
        <v>38</v>
      </c>
      <c r="AB5" s="4" t="s">
        <v>33</v>
      </c>
      <c r="AC5" s="4" t="s">
        <v>40</v>
      </c>
      <c r="AF5" s="7">
        <f>Table13[[#This Row],[Completion time]]-Table13[[#This Row],[Start time]]</f>
        <v>7.2337962992605753E-3</v>
      </c>
      <c r="AG5" s="8">
        <f>2026-Table13[[#This Row],[What is your year of birth? ]]</f>
        <v>30</v>
      </c>
      <c r="AH5">
        <f>2026-Table13[[#This Row],[Please indicate the year you graduated from the Faculty of Medicine]]</f>
        <v>6</v>
      </c>
      <c r="AI5">
        <f t="shared" si="1"/>
        <v>1</v>
      </c>
      <c r="AJ5">
        <f t="shared" si="2"/>
        <v>0</v>
      </c>
      <c r="AK5">
        <f t="shared" si="3"/>
        <v>0</v>
      </c>
      <c r="AL5">
        <f t="shared" si="4"/>
        <v>0</v>
      </c>
      <c r="AM5">
        <f t="shared" si="5"/>
        <v>1</v>
      </c>
      <c r="AN5">
        <f t="shared" si="6"/>
        <v>0</v>
      </c>
      <c r="AO5">
        <f t="shared" si="7"/>
        <v>0</v>
      </c>
      <c r="AP5">
        <f t="shared" si="8"/>
        <v>0</v>
      </c>
      <c r="AQ5">
        <f t="shared" si="9"/>
        <v>1</v>
      </c>
      <c r="AR5">
        <f t="shared" si="10"/>
        <v>0</v>
      </c>
      <c r="AS5">
        <f t="shared" si="11"/>
        <v>0</v>
      </c>
      <c r="AT5">
        <f t="shared" si="12"/>
        <v>0</v>
      </c>
      <c r="AU5">
        <f t="shared" si="13"/>
        <v>0</v>
      </c>
      <c r="AV5">
        <f t="shared" si="14"/>
        <v>0</v>
      </c>
      <c r="AW5">
        <f t="shared" si="15"/>
        <v>1</v>
      </c>
      <c r="AX5">
        <f t="shared" si="16"/>
        <v>4</v>
      </c>
      <c r="AY5">
        <f>IF(Table13[[#This Row],[Please choose your sex]]="Male",0,1)</f>
        <v>0</v>
      </c>
      <c r="AZ5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5">
        <f>IF(Table13[[#This Row],[Do you hold a subspecialty qualification (degree / certificate) in Reproductive Endocrinology and Infertility?
]]="No",0,1)</f>
        <v>0</v>
      </c>
      <c r="BB5">
        <f>IF(Table13[[#This Row],[Do you provide clinical care for the management of infertility?]]="No",0,1)</f>
        <v>0</v>
      </c>
      <c r="BC5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5">
        <f>IF(Table13[[#This Row],[Do you have access to evidence-based clinical guidelines at your workplace?]]="No",0,1)</f>
        <v>1</v>
      </c>
      <c r="BE5">
        <f>IF(OR(Table13[[#This Row],[What is your practice setting? (Select all that apply.)]]="University hospital ;",Table13[[#This Row],[What is your practice setting? (Select all that apply.)]]="Public hospital ;"),1,0)</f>
        <v>0</v>
      </c>
      <c r="BF5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6" spans="1:58" ht="16" x14ac:dyDescent="0.2">
      <c r="A6" s="4">
        <v>18</v>
      </c>
      <c r="B6" s="5">
        <v>46113.835844907408</v>
      </c>
      <c r="C6" s="5">
        <v>46113.838263888887</v>
      </c>
      <c r="D6" s="4" t="s">
        <v>29</v>
      </c>
      <c r="E6" s="6">
        <v>1991</v>
      </c>
      <c r="F6" s="4" t="s">
        <v>44</v>
      </c>
      <c r="G6" s="6">
        <v>2015</v>
      </c>
      <c r="H6" s="4" t="s">
        <v>41</v>
      </c>
      <c r="I6" s="4" t="s">
        <v>32</v>
      </c>
      <c r="J6" s="4" t="s">
        <v>32</v>
      </c>
      <c r="K6" s="4" t="s">
        <v>34</v>
      </c>
      <c r="L6" s="4" t="s">
        <v>43</v>
      </c>
      <c r="M6" s="4" t="s">
        <v>38</v>
      </c>
      <c r="N6" s="4" t="s">
        <v>36</v>
      </c>
      <c r="O6" s="4" t="s">
        <v>36</v>
      </c>
      <c r="P6" s="4" t="s">
        <v>36</v>
      </c>
      <c r="Q6" s="4" t="s">
        <v>39</v>
      </c>
      <c r="R6" s="4" t="s">
        <v>37</v>
      </c>
      <c r="S6" s="4" t="s">
        <v>38</v>
      </c>
      <c r="T6" s="4" t="s">
        <v>38</v>
      </c>
      <c r="U6" s="4" t="s">
        <v>37</v>
      </c>
      <c r="V6" s="4" t="s">
        <v>36</v>
      </c>
      <c r="W6" s="4" t="s">
        <v>36</v>
      </c>
      <c r="X6" s="4" t="s">
        <v>36</v>
      </c>
      <c r="Y6" s="4" t="s">
        <v>38</v>
      </c>
      <c r="Z6" s="4" t="s">
        <v>38</v>
      </c>
      <c r="AA6" s="4" t="s">
        <v>38</v>
      </c>
      <c r="AB6" s="4" t="s">
        <v>32</v>
      </c>
      <c r="AC6" s="4" t="s">
        <v>40</v>
      </c>
      <c r="AF6" s="7">
        <f>Table13[[#This Row],[Completion time]]-Table13[[#This Row],[Start time]]</f>
        <v>2.418981479422655E-3</v>
      </c>
      <c r="AG6" s="8">
        <f>2026-Table13[[#This Row],[What is your year of birth? ]]</f>
        <v>35</v>
      </c>
      <c r="AH6">
        <f>2026-Table13[[#This Row],[Please indicate the year you graduated from the Faculty of Medicine]]</f>
        <v>11</v>
      </c>
      <c r="AI6">
        <f t="shared" si="1"/>
        <v>1</v>
      </c>
      <c r="AJ6">
        <f t="shared" si="2"/>
        <v>0</v>
      </c>
      <c r="AK6">
        <f t="shared" si="3"/>
        <v>0</v>
      </c>
      <c r="AL6">
        <f t="shared" si="4"/>
        <v>0</v>
      </c>
      <c r="AM6">
        <f t="shared" si="5"/>
        <v>1</v>
      </c>
      <c r="AN6">
        <f t="shared" si="6"/>
        <v>0</v>
      </c>
      <c r="AO6">
        <f t="shared" si="7"/>
        <v>1</v>
      </c>
      <c r="AP6">
        <f t="shared" si="8"/>
        <v>1</v>
      </c>
      <c r="AQ6">
        <f t="shared" si="9"/>
        <v>1</v>
      </c>
      <c r="AR6">
        <f t="shared" si="10"/>
        <v>0</v>
      </c>
      <c r="AS6">
        <f t="shared" si="11"/>
        <v>0</v>
      </c>
      <c r="AT6">
        <f t="shared" si="12"/>
        <v>0</v>
      </c>
      <c r="AU6">
        <f t="shared" si="13"/>
        <v>1</v>
      </c>
      <c r="AV6">
        <f t="shared" si="14"/>
        <v>1</v>
      </c>
      <c r="AW6">
        <f t="shared" si="15"/>
        <v>1</v>
      </c>
      <c r="AX6">
        <f t="shared" si="16"/>
        <v>8</v>
      </c>
      <c r="AY6">
        <f>IF(Table13[[#This Row],[Please choose your sex]]="Male",0,1)</f>
        <v>1</v>
      </c>
      <c r="AZ6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6">
        <f>IF(Table13[[#This Row],[Do you hold a subspecialty qualification (degree / certificate) in Reproductive Endocrinology and Infertility?
]]="No",0,1)</f>
        <v>0</v>
      </c>
      <c r="BB6">
        <f>IF(Table13[[#This Row],[Do you provide clinical care for the management of infertility?]]="No",0,1)</f>
        <v>0</v>
      </c>
      <c r="BC6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6">
        <f>IF(Table13[[#This Row],[Do you have access to evidence-based clinical guidelines at your workplace?]]="No",0,1)</f>
        <v>0</v>
      </c>
      <c r="BE6">
        <f>IF(OR(Table13[[#This Row],[What is your practice setting? (Select all that apply.)]]="University hospital ;",Table13[[#This Row],[What is your practice setting? (Select all that apply.)]]="Public hospital ;"),1,0)</f>
        <v>1</v>
      </c>
      <c r="BF6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7" spans="1:58" ht="16" x14ac:dyDescent="0.2">
      <c r="A7" s="4">
        <v>23</v>
      </c>
      <c r="B7" s="5">
        <v>46113.95275462963</v>
      </c>
      <c r="C7" s="5">
        <v>46113.954340277778</v>
      </c>
      <c r="D7" s="4" t="s">
        <v>29</v>
      </c>
      <c r="E7" s="6">
        <v>1988</v>
      </c>
      <c r="F7" s="4" t="s">
        <v>30</v>
      </c>
      <c r="G7" s="6">
        <v>2012</v>
      </c>
      <c r="H7" s="4" t="s">
        <v>67</v>
      </c>
      <c r="I7" s="4" t="s">
        <v>33</v>
      </c>
      <c r="J7" s="4" t="s">
        <v>32</v>
      </c>
      <c r="K7" s="4" t="s">
        <v>34</v>
      </c>
      <c r="L7" s="4" t="s">
        <v>43</v>
      </c>
      <c r="M7" s="4" t="s">
        <v>38</v>
      </c>
      <c r="N7" s="4" t="s">
        <v>38</v>
      </c>
      <c r="O7" s="4" t="s">
        <v>38</v>
      </c>
      <c r="P7" s="4" t="s">
        <v>37</v>
      </c>
      <c r="Q7" s="4" t="s">
        <v>39</v>
      </c>
      <c r="R7" s="4" t="s">
        <v>47</v>
      </c>
      <c r="S7" s="4" t="s">
        <v>47</v>
      </c>
      <c r="T7" s="4" t="s">
        <v>38</v>
      </c>
      <c r="U7" s="4" t="s">
        <v>39</v>
      </c>
      <c r="V7" s="4" t="s">
        <v>47</v>
      </c>
      <c r="W7" s="4" t="s">
        <v>47</v>
      </c>
      <c r="X7" s="4" t="s">
        <v>47</v>
      </c>
      <c r="Y7" s="4" t="s">
        <v>37</v>
      </c>
      <c r="Z7" s="4" t="s">
        <v>36</v>
      </c>
      <c r="AA7" s="4" t="s">
        <v>47</v>
      </c>
      <c r="AB7" s="4" t="s">
        <v>32</v>
      </c>
      <c r="AC7" s="4" t="s">
        <v>48</v>
      </c>
      <c r="AF7" s="7">
        <f>Table13[[#This Row],[Completion time]]-Table13[[#This Row],[Start time]]</f>
        <v>1.5856481477385387E-3</v>
      </c>
      <c r="AG7" s="8">
        <f>2026-Table13[[#This Row],[What is your year of birth? ]]</f>
        <v>38</v>
      </c>
      <c r="AH7">
        <f>2026-Table13[[#This Row],[Please indicate the year you graduated from the Faculty of Medicine]]</f>
        <v>14</v>
      </c>
      <c r="AI7">
        <f t="shared" si="1"/>
        <v>1</v>
      </c>
      <c r="AJ7">
        <f t="shared" si="2"/>
        <v>1</v>
      </c>
      <c r="AK7">
        <f t="shared" si="3"/>
        <v>1</v>
      </c>
      <c r="AL7">
        <f t="shared" si="4"/>
        <v>0</v>
      </c>
      <c r="AM7">
        <f t="shared" si="5"/>
        <v>1</v>
      </c>
      <c r="AN7">
        <f t="shared" si="6"/>
        <v>1</v>
      </c>
      <c r="AO7">
        <f t="shared" si="7"/>
        <v>1</v>
      </c>
      <c r="AP7">
        <f t="shared" si="8"/>
        <v>1</v>
      </c>
      <c r="AQ7">
        <f t="shared" si="9"/>
        <v>1</v>
      </c>
      <c r="AR7">
        <f t="shared" si="10"/>
        <v>1</v>
      </c>
      <c r="AS7">
        <f t="shared" si="11"/>
        <v>1</v>
      </c>
      <c r="AT7">
        <f t="shared" si="12"/>
        <v>1</v>
      </c>
      <c r="AU7">
        <f t="shared" si="13"/>
        <v>0</v>
      </c>
      <c r="AV7">
        <f t="shared" si="14"/>
        <v>0</v>
      </c>
      <c r="AW7">
        <f t="shared" si="15"/>
        <v>1</v>
      </c>
      <c r="AX7">
        <f t="shared" si="16"/>
        <v>12</v>
      </c>
      <c r="AY7">
        <f>IF(Table13[[#This Row],[Please choose your sex]]="Male",0,1)</f>
        <v>0</v>
      </c>
      <c r="AZ7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7">
        <f>IF(Table13[[#This Row],[Do you hold a subspecialty qualification (degree / certificate) in Reproductive Endocrinology and Infertility?
]]="No",0,1)</f>
        <v>1</v>
      </c>
      <c r="BB7">
        <f>IF(Table13[[#This Row],[Do you provide clinical care for the management of infertility?]]="No",0,1)</f>
        <v>0</v>
      </c>
      <c r="BC7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7">
        <f>IF(Table13[[#This Row],[Do you have access to evidence-based clinical guidelines at your workplace?]]="No",0,1)</f>
        <v>0</v>
      </c>
      <c r="BE7">
        <f>IF(OR(Table13[[#This Row],[What is your practice setting? (Select all that apply.)]]="University hospital ;",Table13[[#This Row],[What is your practice setting? (Select all that apply.)]]="Public hospital ;"),1,0)</f>
        <v>1</v>
      </c>
      <c r="BF7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8" spans="1:58" ht="16" x14ac:dyDescent="0.2">
      <c r="A8" s="4">
        <v>27</v>
      </c>
      <c r="B8" s="5">
        <v>46115.51458333333</v>
      </c>
      <c r="C8" s="5">
        <v>46115.515879629631</v>
      </c>
      <c r="D8" s="4" t="s">
        <v>29</v>
      </c>
      <c r="E8" s="6">
        <v>1990</v>
      </c>
      <c r="F8" s="4" t="s">
        <v>44</v>
      </c>
      <c r="G8" s="6">
        <v>2015</v>
      </c>
      <c r="H8" s="4" t="s">
        <v>45</v>
      </c>
      <c r="I8" s="4" t="s">
        <v>32</v>
      </c>
      <c r="J8" s="4" t="s">
        <v>32</v>
      </c>
      <c r="K8" s="4" t="s">
        <v>34</v>
      </c>
      <c r="L8" s="4" t="s">
        <v>43</v>
      </c>
      <c r="M8" s="4" t="s">
        <v>47</v>
      </c>
      <c r="N8" s="4" t="s">
        <v>39</v>
      </c>
      <c r="O8" s="4" t="s">
        <v>39</v>
      </c>
      <c r="P8" s="4" t="s">
        <v>47</v>
      </c>
      <c r="Q8" s="4" t="s">
        <v>39</v>
      </c>
      <c r="R8" s="4" t="s">
        <v>47</v>
      </c>
      <c r="S8" s="4" t="s">
        <v>39</v>
      </c>
      <c r="T8" s="4" t="s">
        <v>47</v>
      </c>
      <c r="U8" s="4" t="s">
        <v>39</v>
      </c>
      <c r="V8" s="4" t="s">
        <v>38</v>
      </c>
      <c r="W8" s="4" t="s">
        <v>38</v>
      </c>
      <c r="X8" s="4" t="s">
        <v>47</v>
      </c>
      <c r="Y8" s="4" t="s">
        <v>39</v>
      </c>
      <c r="Z8" s="4" t="s">
        <v>38</v>
      </c>
      <c r="AA8" s="4" t="s">
        <v>38</v>
      </c>
      <c r="AB8" s="4" t="s">
        <v>32</v>
      </c>
      <c r="AC8" s="4" t="s">
        <v>40</v>
      </c>
      <c r="AF8" s="7">
        <f>Table13[[#This Row],[Completion time]]-Table13[[#This Row],[Start time]]</f>
        <v>1.2962963010068052E-3</v>
      </c>
      <c r="AG8" s="8">
        <f>2026-Table13[[#This Row],[What is your year of birth? ]]</f>
        <v>36</v>
      </c>
      <c r="AH8">
        <f>2026-Table13[[#This Row],[Please indicate the year you graduated from the Faculty of Medicine]]</f>
        <v>11</v>
      </c>
      <c r="AI8">
        <f t="shared" si="1"/>
        <v>1</v>
      </c>
      <c r="AJ8">
        <f t="shared" si="2"/>
        <v>0</v>
      </c>
      <c r="AK8">
        <f t="shared" si="3"/>
        <v>0</v>
      </c>
      <c r="AL8">
        <f t="shared" si="4"/>
        <v>1</v>
      </c>
      <c r="AM8">
        <f t="shared" si="5"/>
        <v>1</v>
      </c>
      <c r="AN8">
        <f t="shared" si="6"/>
        <v>1</v>
      </c>
      <c r="AO8">
        <f t="shared" si="7"/>
        <v>0</v>
      </c>
      <c r="AP8">
        <f t="shared" si="8"/>
        <v>1</v>
      </c>
      <c r="AQ8">
        <f t="shared" si="9"/>
        <v>1</v>
      </c>
      <c r="AR8">
        <f t="shared" si="10"/>
        <v>1</v>
      </c>
      <c r="AS8">
        <f t="shared" si="11"/>
        <v>1</v>
      </c>
      <c r="AT8">
        <f t="shared" si="12"/>
        <v>1</v>
      </c>
      <c r="AU8">
        <f t="shared" si="13"/>
        <v>0</v>
      </c>
      <c r="AV8">
        <f t="shared" si="14"/>
        <v>1</v>
      </c>
      <c r="AW8">
        <f t="shared" si="15"/>
        <v>1</v>
      </c>
      <c r="AX8">
        <f t="shared" si="16"/>
        <v>11</v>
      </c>
      <c r="AY8">
        <f>IF(Table13[[#This Row],[Please choose your sex]]="Male",0,1)</f>
        <v>1</v>
      </c>
      <c r="AZ8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8">
        <f>IF(Table13[[#This Row],[Do you hold a subspecialty qualification (degree / certificate) in Reproductive Endocrinology and Infertility?
]]="No",0,1)</f>
        <v>0</v>
      </c>
      <c r="BB8">
        <f>IF(Table13[[#This Row],[Do you provide clinical care for the management of infertility?]]="No",0,1)</f>
        <v>0</v>
      </c>
      <c r="BC8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8">
        <f>IF(Table13[[#This Row],[Do you have access to evidence-based clinical guidelines at your workplace?]]="No",0,1)</f>
        <v>0</v>
      </c>
      <c r="BE8">
        <f>IF(OR(Table13[[#This Row],[What is your practice setting? (Select all that apply.)]]="University hospital ;",Table13[[#This Row],[What is your practice setting? (Select all that apply.)]]="Public hospital ;"),1,0)</f>
        <v>1</v>
      </c>
      <c r="BF8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9" spans="1:58" ht="16" x14ac:dyDescent="0.2">
      <c r="A9" s="4">
        <v>36</v>
      </c>
      <c r="B9" s="5">
        <v>46115.824629629627</v>
      </c>
      <c r="C9" s="5">
        <v>46115.827175925922</v>
      </c>
      <c r="D9" s="4" t="s">
        <v>29</v>
      </c>
      <c r="E9" s="6">
        <v>1997</v>
      </c>
      <c r="F9" s="4" t="s">
        <v>44</v>
      </c>
      <c r="G9" s="6">
        <v>2020</v>
      </c>
      <c r="H9" s="4" t="s">
        <v>50</v>
      </c>
      <c r="I9" s="4" t="s">
        <v>32</v>
      </c>
      <c r="J9" s="4" t="s">
        <v>32</v>
      </c>
      <c r="K9" s="4" t="s">
        <v>34</v>
      </c>
      <c r="L9" s="4" t="s">
        <v>64</v>
      </c>
      <c r="M9" s="4" t="s">
        <v>38</v>
      </c>
      <c r="N9" s="4" t="s">
        <v>38</v>
      </c>
      <c r="O9" s="4" t="s">
        <v>36</v>
      </c>
      <c r="P9" s="4" t="s">
        <v>37</v>
      </c>
      <c r="Q9" s="4" t="s">
        <v>39</v>
      </c>
      <c r="R9" s="4" t="s">
        <v>36</v>
      </c>
      <c r="S9" s="4" t="s">
        <v>38</v>
      </c>
      <c r="T9" s="4" t="s">
        <v>37</v>
      </c>
      <c r="U9" s="4" t="s">
        <v>36</v>
      </c>
      <c r="V9" s="4" t="s">
        <v>36</v>
      </c>
      <c r="W9" s="4" t="s">
        <v>36</v>
      </c>
      <c r="X9" s="4" t="s">
        <v>37</v>
      </c>
      <c r="Y9" s="4" t="s">
        <v>37</v>
      </c>
      <c r="Z9" s="4" t="s">
        <v>37</v>
      </c>
      <c r="AA9" s="4" t="s">
        <v>36</v>
      </c>
      <c r="AB9" s="4" t="s">
        <v>32</v>
      </c>
      <c r="AC9" s="4" t="s">
        <v>55</v>
      </c>
      <c r="AF9" s="7">
        <f>Table13[[#This Row],[Completion time]]-Table13[[#This Row],[Start time]]</f>
        <v>2.5462962948950008E-3</v>
      </c>
      <c r="AG9" s="8">
        <f>2026-Table13[[#This Row],[What is your year of birth? ]]</f>
        <v>29</v>
      </c>
      <c r="AH9">
        <f>2026-Table13[[#This Row],[Please indicate the year you graduated from the Faculty of Medicine]]</f>
        <v>6</v>
      </c>
      <c r="AI9">
        <f t="shared" si="1"/>
        <v>1</v>
      </c>
      <c r="AJ9">
        <f t="shared" si="2"/>
        <v>1</v>
      </c>
      <c r="AK9">
        <f t="shared" si="3"/>
        <v>0</v>
      </c>
      <c r="AL9">
        <f t="shared" si="4"/>
        <v>0</v>
      </c>
      <c r="AM9">
        <f t="shared" si="5"/>
        <v>1</v>
      </c>
      <c r="AN9">
        <f t="shared" si="6"/>
        <v>0</v>
      </c>
      <c r="AO9">
        <f t="shared" si="7"/>
        <v>1</v>
      </c>
      <c r="AP9">
        <f t="shared" si="8"/>
        <v>0</v>
      </c>
      <c r="AQ9">
        <f t="shared" si="9"/>
        <v>0</v>
      </c>
      <c r="AR9">
        <f t="shared" si="10"/>
        <v>0</v>
      </c>
      <c r="AS9">
        <f t="shared" si="11"/>
        <v>0</v>
      </c>
      <c r="AT9">
        <f t="shared" si="12"/>
        <v>0</v>
      </c>
      <c r="AU9">
        <f t="shared" si="13"/>
        <v>0</v>
      </c>
      <c r="AV9">
        <f t="shared" si="14"/>
        <v>0</v>
      </c>
      <c r="AW9">
        <f t="shared" si="15"/>
        <v>0</v>
      </c>
      <c r="AX9">
        <f t="shared" si="16"/>
        <v>4</v>
      </c>
      <c r="AY9">
        <f>IF(Table13[[#This Row],[Please choose your sex]]="Male",0,1)</f>
        <v>1</v>
      </c>
      <c r="AZ9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9">
        <f>IF(Table13[[#This Row],[Do you hold a subspecialty qualification (degree / certificate) in Reproductive Endocrinology and Infertility?
]]="No",0,1)</f>
        <v>0</v>
      </c>
      <c r="BB9">
        <f>IF(Table13[[#This Row],[Do you provide clinical care for the management of infertility?]]="No",0,1)</f>
        <v>0</v>
      </c>
      <c r="BC9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9">
        <f>IF(Table13[[#This Row],[Do you have access to evidence-based clinical guidelines at your workplace?]]="No",0,1)</f>
        <v>0</v>
      </c>
      <c r="BE9">
        <f>IF(OR(Table13[[#This Row],[What is your practice setting? (Select all that apply.)]]="University hospital ;",Table13[[#This Row],[What is your practice setting? (Select all that apply.)]]="Public hospital ;"),1,0)</f>
        <v>0</v>
      </c>
      <c r="BF9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0" spans="1:58" ht="16" x14ac:dyDescent="0.2">
      <c r="A10" s="4">
        <v>49</v>
      </c>
      <c r="B10" s="5">
        <v>46119.468043981484</v>
      </c>
      <c r="C10" s="5">
        <v>46119.470486111109</v>
      </c>
      <c r="D10" s="4" t="s">
        <v>29</v>
      </c>
      <c r="E10" s="6">
        <v>1993</v>
      </c>
      <c r="F10" s="4" t="s">
        <v>30</v>
      </c>
      <c r="G10" s="6">
        <v>2017</v>
      </c>
      <c r="H10" s="4" t="s">
        <v>50</v>
      </c>
      <c r="I10" s="4" t="s">
        <v>32</v>
      </c>
      <c r="J10" s="4" t="s">
        <v>32</v>
      </c>
      <c r="K10" s="4" t="s">
        <v>34</v>
      </c>
      <c r="L10" s="4" t="s">
        <v>43</v>
      </c>
      <c r="M10" s="4" t="s">
        <v>39</v>
      </c>
      <c r="N10" s="4" t="s">
        <v>36</v>
      </c>
      <c r="O10" s="4" t="s">
        <v>39</v>
      </c>
      <c r="P10" s="4" t="s">
        <v>39</v>
      </c>
      <c r="Q10" s="4" t="s">
        <v>39</v>
      </c>
      <c r="R10" s="4" t="s">
        <v>38</v>
      </c>
      <c r="S10" s="4" t="s">
        <v>38</v>
      </c>
      <c r="T10" s="4" t="s">
        <v>37</v>
      </c>
      <c r="U10" s="4" t="s">
        <v>37</v>
      </c>
      <c r="V10" s="4" t="s">
        <v>39</v>
      </c>
      <c r="W10" s="4" t="s">
        <v>38</v>
      </c>
      <c r="X10" s="4" t="s">
        <v>39</v>
      </c>
      <c r="Y10" s="4" t="s">
        <v>38</v>
      </c>
      <c r="Z10" s="4" t="s">
        <v>39</v>
      </c>
      <c r="AA10" s="4" t="s">
        <v>38</v>
      </c>
      <c r="AB10" s="4" t="s">
        <v>32</v>
      </c>
      <c r="AC10" s="4" t="s">
        <v>40</v>
      </c>
      <c r="AF10" s="7">
        <f>Table13[[#This Row],[Completion time]]-Table13[[#This Row],[Start time]]</f>
        <v>2.4421296257060021E-3</v>
      </c>
      <c r="AG10" s="8">
        <f>2026-Table13[[#This Row],[What is your year of birth? ]]</f>
        <v>33</v>
      </c>
      <c r="AH10">
        <f>2026-Table13[[#This Row],[Please indicate the year you graduated from the Faculty of Medicine]]</f>
        <v>9</v>
      </c>
      <c r="AI10">
        <f t="shared" si="1"/>
        <v>0</v>
      </c>
      <c r="AJ10">
        <f t="shared" si="2"/>
        <v>0</v>
      </c>
      <c r="AK10">
        <f t="shared" si="3"/>
        <v>0</v>
      </c>
      <c r="AL10">
        <f t="shared" si="4"/>
        <v>0</v>
      </c>
      <c r="AM10">
        <f t="shared" si="5"/>
        <v>1</v>
      </c>
      <c r="AN10">
        <f t="shared" si="6"/>
        <v>1</v>
      </c>
      <c r="AO10">
        <f t="shared" si="7"/>
        <v>1</v>
      </c>
      <c r="AP10">
        <f t="shared" si="8"/>
        <v>0</v>
      </c>
      <c r="AQ10">
        <f t="shared" si="9"/>
        <v>1</v>
      </c>
      <c r="AR10">
        <f t="shared" si="10"/>
        <v>0</v>
      </c>
      <c r="AS10">
        <f t="shared" si="11"/>
        <v>1</v>
      </c>
      <c r="AT10">
        <f t="shared" si="12"/>
        <v>0</v>
      </c>
      <c r="AU10">
        <f t="shared" si="13"/>
        <v>1</v>
      </c>
      <c r="AV10">
        <f t="shared" si="14"/>
        <v>0</v>
      </c>
      <c r="AW10">
        <f t="shared" si="15"/>
        <v>1</v>
      </c>
      <c r="AX10">
        <f t="shared" si="16"/>
        <v>7</v>
      </c>
      <c r="AY10">
        <f>IF(Table13[[#This Row],[Please choose your sex]]="Male",0,1)</f>
        <v>0</v>
      </c>
      <c r="AZ10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0">
        <f>IF(Table13[[#This Row],[Do you hold a subspecialty qualification (degree / certificate) in Reproductive Endocrinology and Infertility?
]]="No",0,1)</f>
        <v>0</v>
      </c>
      <c r="BB10">
        <f>IF(Table13[[#This Row],[Do you provide clinical care for the management of infertility?]]="No",0,1)</f>
        <v>0</v>
      </c>
      <c r="BC10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0">
        <f>IF(Table13[[#This Row],[Do you have access to evidence-based clinical guidelines at your workplace?]]="No",0,1)</f>
        <v>0</v>
      </c>
      <c r="BE10">
        <f>IF(OR(Table13[[#This Row],[What is your practice setting? (Select all that apply.)]]="University hospital ;",Table13[[#This Row],[What is your practice setting? (Select all that apply.)]]="Public hospital ;"),1,0)</f>
        <v>1</v>
      </c>
      <c r="BF10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1" spans="1:58" ht="16" x14ac:dyDescent="0.2">
      <c r="A11" s="4">
        <v>50</v>
      </c>
      <c r="B11" s="5">
        <v>46121.602708333332</v>
      </c>
      <c r="C11" s="5">
        <v>46121.607870370368</v>
      </c>
      <c r="D11" s="4" t="s">
        <v>29</v>
      </c>
      <c r="E11" s="6">
        <v>1994</v>
      </c>
      <c r="F11" s="4" t="s">
        <v>44</v>
      </c>
      <c r="G11" s="6">
        <v>2018</v>
      </c>
      <c r="H11" s="4" t="s">
        <v>50</v>
      </c>
      <c r="I11" s="4" t="s">
        <v>32</v>
      </c>
      <c r="J11" s="4" t="s">
        <v>32</v>
      </c>
      <c r="K11" s="4" t="s">
        <v>34</v>
      </c>
      <c r="L11" s="4" t="s">
        <v>51</v>
      </c>
      <c r="M11" s="4" t="s">
        <v>37</v>
      </c>
      <c r="N11" s="4" t="s">
        <v>36</v>
      </c>
      <c r="O11" s="4" t="s">
        <v>37</v>
      </c>
      <c r="P11" s="4" t="s">
        <v>37</v>
      </c>
      <c r="Q11" s="4" t="s">
        <v>37</v>
      </c>
      <c r="R11" s="4" t="s">
        <v>37</v>
      </c>
      <c r="S11" s="4" t="s">
        <v>37</v>
      </c>
      <c r="T11" s="4" t="s">
        <v>36</v>
      </c>
      <c r="U11" s="4" t="s">
        <v>36</v>
      </c>
      <c r="V11" s="4" t="s">
        <v>36</v>
      </c>
      <c r="W11" s="4" t="s">
        <v>36</v>
      </c>
      <c r="X11" s="4" t="s">
        <v>37</v>
      </c>
      <c r="Y11" s="4" t="s">
        <v>36</v>
      </c>
      <c r="Z11" s="4" t="s">
        <v>37</v>
      </c>
      <c r="AA11" s="4" t="s">
        <v>36</v>
      </c>
      <c r="AB11" s="4" t="s">
        <v>33</v>
      </c>
      <c r="AC11" s="4" t="s">
        <v>48</v>
      </c>
      <c r="AF11" s="7">
        <f>Table13[[#This Row],[Completion time]]-Table13[[#This Row],[Start time]]</f>
        <v>5.1620370359160006E-3</v>
      </c>
      <c r="AG11" s="8">
        <f>2026-Table13[[#This Row],[What is your year of birth? ]]</f>
        <v>32</v>
      </c>
      <c r="AH11">
        <f>2026-Table13[[#This Row],[Please indicate the year you graduated from the Faculty of Medicine]]</f>
        <v>8</v>
      </c>
      <c r="AI11">
        <f t="shared" si="1"/>
        <v>0</v>
      </c>
      <c r="AJ11">
        <f t="shared" si="2"/>
        <v>0</v>
      </c>
      <c r="AK11">
        <f t="shared" si="3"/>
        <v>0</v>
      </c>
      <c r="AL11">
        <f t="shared" si="4"/>
        <v>0</v>
      </c>
      <c r="AM11">
        <f t="shared" si="5"/>
        <v>1</v>
      </c>
      <c r="AN11">
        <f t="shared" si="6"/>
        <v>0</v>
      </c>
      <c r="AO11">
        <f t="shared" si="7"/>
        <v>0</v>
      </c>
      <c r="AP11">
        <f t="shared" si="8"/>
        <v>0</v>
      </c>
      <c r="AQ11">
        <f t="shared" si="9"/>
        <v>0</v>
      </c>
      <c r="AR11">
        <f t="shared" si="10"/>
        <v>0</v>
      </c>
      <c r="AS11">
        <f t="shared" si="11"/>
        <v>0</v>
      </c>
      <c r="AT11">
        <f t="shared" si="12"/>
        <v>0</v>
      </c>
      <c r="AU11">
        <f t="shared" si="13"/>
        <v>0</v>
      </c>
      <c r="AV11">
        <f t="shared" si="14"/>
        <v>0</v>
      </c>
      <c r="AW11">
        <f t="shared" si="15"/>
        <v>0</v>
      </c>
      <c r="AX11">
        <f t="shared" si="16"/>
        <v>1</v>
      </c>
      <c r="AY11">
        <f>IF(Table13[[#This Row],[Please choose your sex]]="Male",0,1)</f>
        <v>1</v>
      </c>
      <c r="AZ11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1">
        <f>IF(Table13[[#This Row],[Do you hold a subspecialty qualification (degree / certificate) in Reproductive Endocrinology and Infertility?
]]="No",0,1)</f>
        <v>0</v>
      </c>
      <c r="BB11">
        <f>IF(Table13[[#This Row],[Do you provide clinical care for the management of infertility?]]="No",0,1)</f>
        <v>0</v>
      </c>
      <c r="BC11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1">
        <f>IF(Table13[[#This Row],[Do you have access to evidence-based clinical guidelines at your workplace?]]="No",0,1)</f>
        <v>1</v>
      </c>
      <c r="BE11">
        <f>IF(OR(Table13[[#This Row],[What is your practice setting? (Select all that apply.)]]="University hospital ;",Table13[[#This Row],[What is your practice setting? (Select all that apply.)]]="Public hospital ;"),1,0)</f>
        <v>0</v>
      </c>
      <c r="BF11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2" spans="1:58" ht="16" x14ac:dyDescent="0.2">
      <c r="A12" s="4">
        <v>56</v>
      </c>
      <c r="B12" s="5">
        <v>46128.91920138889</v>
      </c>
      <c r="C12" s="5">
        <v>46128.950196759259</v>
      </c>
      <c r="D12" s="4" t="s">
        <v>29</v>
      </c>
      <c r="E12" s="6">
        <v>1961</v>
      </c>
      <c r="F12" s="4" t="s">
        <v>44</v>
      </c>
      <c r="G12" s="6">
        <v>1984</v>
      </c>
      <c r="H12" s="4" t="s">
        <v>45</v>
      </c>
      <c r="I12" s="4" t="s">
        <v>32</v>
      </c>
      <c r="J12" s="4" t="s">
        <v>32</v>
      </c>
      <c r="K12" s="4" t="s">
        <v>34</v>
      </c>
      <c r="L12" s="4" t="s">
        <v>70</v>
      </c>
      <c r="M12" s="4" t="s">
        <v>39</v>
      </c>
      <c r="N12" s="4" t="s">
        <v>38</v>
      </c>
      <c r="O12" s="4" t="s">
        <v>38</v>
      </c>
      <c r="P12" s="4" t="s">
        <v>38</v>
      </c>
      <c r="Q12" s="4" t="s">
        <v>39</v>
      </c>
      <c r="R12" s="4" t="s">
        <v>38</v>
      </c>
      <c r="S12" s="4" t="s">
        <v>38</v>
      </c>
      <c r="T12" s="4" t="s">
        <v>38</v>
      </c>
      <c r="U12" s="4" t="s">
        <v>37</v>
      </c>
      <c r="V12" s="4" t="s">
        <v>38</v>
      </c>
      <c r="W12" s="4" t="s">
        <v>38</v>
      </c>
      <c r="X12" s="4" t="s">
        <v>38</v>
      </c>
      <c r="Y12" s="4" t="s">
        <v>38</v>
      </c>
      <c r="Z12" s="4" t="s">
        <v>38</v>
      </c>
      <c r="AA12" s="4" t="s">
        <v>38</v>
      </c>
      <c r="AB12" s="4" t="s">
        <v>33</v>
      </c>
      <c r="AC12" s="4" t="s">
        <v>40</v>
      </c>
      <c r="AF12" s="7">
        <f>Table13[[#This Row],[Completion time]]-Table13[[#This Row],[Start time]]</f>
        <v>3.0995370369055308E-2</v>
      </c>
      <c r="AG12" s="8">
        <f>2026-Table13[[#This Row],[What is your year of birth? ]]</f>
        <v>65</v>
      </c>
      <c r="AH12">
        <f>2026-Table13[[#This Row],[Please indicate the year you graduated from the Faculty of Medicine]]</f>
        <v>42</v>
      </c>
      <c r="AI12">
        <f t="shared" si="1"/>
        <v>0</v>
      </c>
      <c r="AJ12">
        <f t="shared" si="2"/>
        <v>1</v>
      </c>
      <c r="AK12">
        <f t="shared" si="3"/>
        <v>1</v>
      </c>
      <c r="AL12">
        <f t="shared" si="4"/>
        <v>1</v>
      </c>
      <c r="AM12">
        <f t="shared" si="5"/>
        <v>1</v>
      </c>
      <c r="AN12">
        <f t="shared" si="6"/>
        <v>1</v>
      </c>
      <c r="AO12">
        <f t="shared" si="7"/>
        <v>1</v>
      </c>
      <c r="AP12">
        <f t="shared" si="8"/>
        <v>1</v>
      </c>
      <c r="AQ12">
        <f t="shared" si="9"/>
        <v>1</v>
      </c>
      <c r="AR12">
        <f t="shared" si="10"/>
        <v>1</v>
      </c>
      <c r="AS12">
        <f t="shared" si="11"/>
        <v>1</v>
      </c>
      <c r="AT12">
        <f t="shared" si="12"/>
        <v>1</v>
      </c>
      <c r="AU12">
        <f t="shared" si="13"/>
        <v>1</v>
      </c>
      <c r="AV12">
        <f t="shared" si="14"/>
        <v>1</v>
      </c>
      <c r="AW12">
        <f t="shared" si="15"/>
        <v>1</v>
      </c>
      <c r="AX12">
        <f t="shared" si="16"/>
        <v>14</v>
      </c>
      <c r="AY12">
        <f>IF(Table13[[#This Row],[Please choose your sex]]="Male",0,1)</f>
        <v>1</v>
      </c>
      <c r="AZ12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2">
        <f>IF(Table13[[#This Row],[Do you hold a subspecialty qualification (degree / certificate) in Reproductive Endocrinology and Infertility?
]]="No",0,1)</f>
        <v>0</v>
      </c>
      <c r="BB12">
        <f>IF(Table13[[#This Row],[Do you provide clinical care for the management of infertility?]]="No",0,1)</f>
        <v>0</v>
      </c>
      <c r="BC12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2">
        <f>IF(Table13[[#This Row],[Do you have access to evidence-based clinical guidelines at your workplace?]]="No",0,1)</f>
        <v>1</v>
      </c>
      <c r="BE12">
        <f>IF(OR(Table13[[#This Row],[What is your practice setting? (Select all that apply.)]]="University hospital ;",Table13[[#This Row],[What is your practice setting? (Select all that apply.)]]="Public hospital ;"),1,0)</f>
        <v>1</v>
      </c>
      <c r="BF12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3" spans="1:58" ht="16" x14ac:dyDescent="0.2">
      <c r="A13" s="4">
        <v>57</v>
      </c>
      <c r="B13" s="5">
        <v>46128.951886574076</v>
      </c>
      <c r="C13" s="5">
        <v>46128.957303240742</v>
      </c>
      <c r="D13" s="4" t="s">
        <v>29</v>
      </c>
      <c r="E13" s="6">
        <v>1970</v>
      </c>
      <c r="F13" s="4" t="s">
        <v>44</v>
      </c>
      <c r="G13" s="6">
        <v>1994</v>
      </c>
      <c r="H13" s="4" t="s">
        <v>45</v>
      </c>
      <c r="I13" s="4" t="s">
        <v>32</v>
      </c>
      <c r="J13" s="9" t="s">
        <v>33</v>
      </c>
      <c r="K13" s="4" t="s">
        <v>42</v>
      </c>
      <c r="L13" s="4" t="s">
        <v>62</v>
      </c>
      <c r="M13" s="4" t="s">
        <v>39</v>
      </c>
      <c r="N13" s="4" t="s">
        <v>37</v>
      </c>
      <c r="O13" s="4" t="s">
        <v>37</v>
      </c>
      <c r="P13" s="4" t="s">
        <v>37</v>
      </c>
      <c r="Q13" s="4" t="s">
        <v>37</v>
      </c>
      <c r="R13" s="4" t="s">
        <v>37</v>
      </c>
      <c r="S13" s="4" t="s">
        <v>37</v>
      </c>
      <c r="T13" s="4" t="s">
        <v>37</v>
      </c>
      <c r="U13" s="4" t="s">
        <v>37</v>
      </c>
      <c r="V13" s="4" t="s">
        <v>37</v>
      </c>
      <c r="W13" s="4" t="s">
        <v>36</v>
      </c>
      <c r="X13" s="4" t="s">
        <v>36</v>
      </c>
      <c r="Y13" s="4" t="s">
        <v>37</v>
      </c>
      <c r="Z13" s="4" t="s">
        <v>37</v>
      </c>
      <c r="AA13" s="4" t="s">
        <v>36</v>
      </c>
      <c r="AB13" s="4" t="s">
        <v>33</v>
      </c>
      <c r="AC13" s="4" t="s">
        <v>65</v>
      </c>
      <c r="AF13" s="7">
        <f>Table13[[#This Row],[Completion time]]-Table13[[#This Row],[Start time]]</f>
        <v>5.4166666668606922E-3</v>
      </c>
      <c r="AG13" s="8">
        <f>2026-Table13[[#This Row],[What is your year of birth? ]]</f>
        <v>56</v>
      </c>
      <c r="AH13">
        <f>2026-Table13[[#This Row],[Please indicate the year you graduated from the Faculty of Medicine]]</f>
        <v>32</v>
      </c>
      <c r="AI13">
        <f t="shared" si="1"/>
        <v>0</v>
      </c>
      <c r="AJ13">
        <f t="shared" si="2"/>
        <v>0</v>
      </c>
      <c r="AK13">
        <f t="shared" si="3"/>
        <v>0</v>
      </c>
      <c r="AL13">
        <f t="shared" si="4"/>
        <v>0</v>
      </c>
      <c r="AM13">
        <f t="shared" si="5"/>
        <v>1</v>
      </c>
      <c r="AN13">
        <f t="shared" si="6"/>
        <v>0</v>
      </c>
      <c r="AO13">
        <f t="shared" si="7"/>
        <v>0</v>
      </c>
      <c r="AP13">
        <f t="shared" si="8"/>
        <v>0</v>
      </c>
      <c r="AQ13">
        <f t="shared" si="9"/>
        <v>1</v>
      </c>
      <c r="AR13">
        <f t="shared" si="10"/>
        <v>0</v>
      </c>
      <c r="AS13">
        <f t="shared" si="11"/>
        <v>0</v>
      </c>
      <c r="AT13">
        <f t="shared" si="12"/>
        <v>0</v>
      </c>
      <c r="AU13">
        <f t="shared" si="13"/>
        <v>0</v>
      </c>
      <c r="AV13">
        <f t="shared" si="14"/>
        <v>0</v>
      </c>
      <c r="AW13">
        <f t="shared" si="15"/>
        <v>0</v>
      </c>
      <c r="AX13">
        <f t="shared" si="16"/>
        <v>2</v>
      </c>
      <c r="AY13">
        <f>IF(Table13[[#This Row],[Please choose your sex]]="Male",0,1)</f>
        <v>1</v>
      </c>
      <c r="AZ13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3">
        <f>IF(Table13[[#This Row],[Do you hold a subspecialty qualification (degree / certificate) in Reproductive Endocrinology and Infertility?
]]="No",0,1)</f>
        <v>0</v>
      </c>
      <c r="BB13">
        <f>IF(Table13[[#This Row],[Do you provide clinical care for the management of infertility?]]="No",0,1)</f>
        <v>1</v>
      </c>
      <c r="BC13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3">
        <f>IF(Table13[[#This Row],[Do you have access to evidence-based clinical guidelines at your workplace?]]="No",0,1)</f>
        <v>1</v>
      </c>
      <c r="BE13">
        <f>IF(OR(Table13[[#This Row],[What is your practice setting? (Select all that apply.)]]="University hospital ;",Table13[[#This Row],[What is your practice setting? (Select all that apply.)]]="Public hospital ;"),1,0)</f>
        <v>0</v>
      </c>
      <c r="BF13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14" spans="1:58" ht="16" x14ac:dyDescent="0.2">
      <c r="A14" s="4">
        <v>60</v>
      </c>
      <c r="B14" s="5">
        <v>46129.001076388886</v>
      </c>
      <c r="C14" s="5">
        <v>46129.007488425923</v>
      </c>
      <c r="D14" s="4" t="s">
        <v>29</v>
      </c>
      <c r="E14" s="6">
        <v>1962</v>
      </c>
      <c r="F14" s="4" t="s">
        <v>44</v>
      </c>
      <c r="G14" s="6">
        <v>1987</v>
      </c>
      <c r="H14" s="4" t="s">
        <v>45</v>
      </c>
      <c r="I14" s="4" t="s">
        <v>33</v>
      </c>
      <c r="J14" s="4" t="s">
        <v>32</v>
      </c>
      <c r="K14" s="4" t="s">
        <v>34</v>
      </c>
      <c r="L14" s="4" t="s">
        <v>81</v>
      </c>
      <c r="M14" s="4" t="s">
        <v>39</v>
      </c>
      <c r="N14" s="4" t="s">
        <v>36</v>
      </c>
      <c r="O14" s="4" t="s">
        <v>36</v>
      </c>
      <c r="P14" s="4" t="s">
        <v>36</v>
      </c>
      <c r="Q14" s="4" t="s">
        <v>37</v>
      </c>
      <c r="R14" s="4" t="s">
        <v>37</v>
      </c>
      <c r="S14" s="4" t="s">
        <v>36</v>
      </c>
      <c r="T14" s="4" t="s">
        <v>38</v>
      </c>
      <c r="U14" s="4" t="s">
        <v>36</v>
      </c>
      <c r="V14" s="4" t="s">
        <v>36</v>
      </c>
      <c r="W14" s="4" t="s">
        <v>36</v>
      </c>
      <c r="X14" s="4" t="s">
        <v>36</v>
      </c>
      <c r="Y14" s="4" t="s">
        <v>36</v>
      </c>
      <c r="Z14" s="4" t="s">
        <v>36</v>
      </c>
      <c r="AA14" s="4" t="s">
        <v>36</v>
      </c>
      <c r="AB14" s="4" t="s">
        <v>33</v>
      </c>
      <c r="AC14" s="4" t="s">
        <v>40</v>
      </c>
      <c r="AF14" s="7">
        <f>Table13[[#This Row],[Completion time]]-Table13[[#This Row],[Start time]]</f>
        <v>6.4120370370801538E-3</v>
      </c>
      <c r="AG14" s="8">
        <f>2026-Table13[[#This Row],[What is your year of birth? ]]</f>
        <v>64</v>
      </c>
      <c r="AH14">
        <f>2026-Table13[[#This Row],[Please indicate the year you graduated from the Faculty of Medicine]]</f>
        <v>39</v>
      </c>
      <c r="AI14">
        <f t="shared" si="1"/>
        <v>0</v>
      </c>
      <c r="AJ14">
        <f t="shared" si="2"/>
        <v>0</v>
      </c>
      <c r="AK14">
        <f t="shared" si="3"/>
        <v>0</v>
      </c>
      <c r="AL14">
        <f t="shared" si="4"/>
        <v>0</v>
      </c>
      <c r="AM14">
        <f t="shared" si="5"/>
        <v>1</v>
      </c>
      <c r="AN14">
        <f t="shared" si="6"/>
        <v>0</v>
      </c>
      <c r="AO14">
        <f t="shared" si="7"/>
        <v>0</v>
      </c>
      <c r="AP14">
        <f t="shared" si="8"/>
        <v>1</v>
      </c>
      <c r="AQ14">
        <f t="shared" si="9"/>
        <v>0</v>
      </c>
      <c r="AR14">
        <f t="shared" si="10"/>
        <v>0</v>
      </c>
      <c r="AS14">
        <f t="shared" si="11"/>
        <v>0</v>
      </c>
      <c r="AT14">
        <f t="shared" si="12"/>
        <v>0</v>
      </c>
      <c r="AU14">
        <f t="shared" si="13"/>
        <v>0</v>
      </c>
      <c r="AV14">
        <f t="shared" si="14"/>
        <v>0</v>
      </c>
      <c r="AW14">
        <f t="shared" si="15"/>
        <v>0</v>
      </c>
      <c r="AX14">
        <f t="shared" si="16"/>
        <v>2</v>
      </c>
      <c r="AY14">
        <f>IF(Table13[[#This Row],[Please choose your sex]]="Male",0,1)</f>
        <v>1</v>
      </c>
      <c r="AZ14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4">
        <f>IF(Table13[[#This Row],[Do you hold a subspecialty qualification (degree / certificate) in Reproductive Endocrinology and Infertility?
]]="No",0,1)</f>
        <v>1</v>
      </c>
      <c r="BB14">
        <f>IF(Table13[[#This Row],[Do you provide clinical care for the management of infertility?]]="No",0,1)</f>
        <v>0</v>
      </c>
      <c r="BC14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4">
        <f>IF(Table13[[#This Row],[Do you have access to evidence-based clinical guidelines at your workplace?]]="No",0,1)</f>
        <v>1</v>
      </c>
      <c r="BE14">
        <f>IF(OR(Table13[[#This Row],[What is your practice setting? (Select all that apply.)]]="University hospital ;",Table13[[#This Row],[What is your practice setting? (Select all that apply.)]]="Public hospital ;"),1,0)</f>
        <v>0</v>
      </c>
      <c r="BF14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5" spans="1:58" ht="16" x14ac:dyDescent="0.2">
      <c r="A15" s="4">
        <v>63</v>
      </c>
      <c r="B15" s="5">
        <v>46129.350590277776</v>
      </c>
      <c r="C15" s="5">
        <v>46129.353043981479</v>
      </c>
      <c r="D15" s="4" t="s">
        <v>29</v>
      </c>
      <c r="E15" s="6">
        <v>1965</v>
      </c>
      <c r="F15" s="4" t="s">
        <v>44</v>
      </c>
      <c r="G15" s="6">
        <v>1988</v>
      </c>
      <c r="H15" s="4" t="s">
        <v>45</v>
      </c>
      <c r="I15" s="4" t="s">
        <v>32</v>
      </c>
      <c r="J15" s="4" t="s">
        <v>32</v>
      </c>
      <c r="K15" s="4" t="s">
        <v>34</v>
      </c>
      <c r="L15" s="4" t="s">
        <v>43</v>
      </c>
      <c r="M15" s="4" t="s">
        <v>37</v>
      </c>
      <c r="N15" s="4" t="s">
        <v>36</v>
      </c>
      <c r="O15" s="4" t="s">
        <v>36</v>
      </c>
      <c r="P15" s="4" t="s">
        <v>36</v>
      </c>
      <c r="Q15" s="4" t="s">
        <v>37</v>
      </c>
      <c r="R15" s="4" t="s">
        <v>37</v>
      </c>
      <c r="S15" s="4" t="s">
        <v>37</v>
      </c>
      <c r="T15" s="4" t="s">
        <v>37</v>
      </c>
      <c r="U15" s="4" t="s">
        <v>36</v>
      </c>
      <c r="V15" s="4" t="s">
        <v>36</v>
      </c>
      <c r="W15" s="4" t="s">
        <v>36</v>
      </c>
      <c r="X15" s="4" t="s">
        <v>36</v>
      </c>
      <c r="Y15" s="4" t="s">
        <v>37</v>
      </c>
      <c r="Z15" s="4" t="s">
        <v>38</v>
      </c>
      <c r="AA15" s="4" t="s">
        <v>36</v>
      </c>
      <c r="AB15" s="4" t="s">
        <v>33</v>
      </c>
      <c r="AC15" s="4" t="s">
        <v>65</v>
      </c>
      <c r="AF15" s="7">
        <f>Table13[[#This Row],[Completion time]]-Table13[[#This Row],[Start time]]</f>
        <v>2.4537037024856545E-3</v>
      </c>
      <c r="AG15" s="8">
        <f>2026-Table13[[#This Row],[What is your year of birth? ]]</f>
        <v>61</v>
      </c>
      <c r="AH15">
        <f>2026-Table13[[#This Row],[Please indicate the year you graduated from the Faculty of Medicine]]</f>
        <v>38</v>
      </c>
      <c r="AI15">
        <f t="shared" si="1"/>
        <v>0</v>
      </c>
      <c r="AJ15">
        <f t="shared" si="2"/>
        <v>0</v>
      </c>
      <c r="AK15">
        <f t="shared" si="3"/>
        <v>0</v>
      </c>
      <c r="AL15">
        <f t="shared" si="4"/>
        <v>0</v>
      </c>
      <c r="AM15">
        <f t="shared" si="5"/>
        <v>1</v>
      </c>
      <c r="AN15">
        <f t="shared" si="6"/>
        <v>0</v>
      </c>
      <c r="AO15">
        <f t="shared" si="7"/>
        <v>0</v>
      </c>
      <c r="AP15">
        <f t="shared" si="8"/>
        <v>0</v>
      </c>
      <c r="AQ15">
        <f t="shared" si="9"/>
        <v>0</v>
      </c>
      <c r="AR15">
        <f t="shared" si="10"/>
        <v>0</v>
      </c>
      <c r="AS15">
        <f t="shared" si="11"/>
        <v>0</v>
      </c>
      <c r="AT15">
        <f t="shared" si="12"/>
        <v>0</v>
      </c>
      <c r="AU15">
        <f t="shared" si="13"/>
        <v>0</v>
      </c>
      <c r="AV15">
        <f t="shared" si="14"/>
        <v>1</v>
      </c>
      <c r="AW15">
        <f t="shared" si="15"/>
        <v>0</v>
      </c>
      <c r="AX15">
        <f t="shared" si="16"/>
        <v>2</v>
      </c>
      <c r="AY15">
        <f>IF(Table13[[#This Row],[Please choose your sex]]="Male",0,1)</f>
        <v>1</v>
      </c>
      <c r="AZ15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5">
        <f>IF(Table13[[#This Row],[Do you hold a subspecialty qualification (degree / certificate) in Reproductive Endocrinology and Infertility?
]]="No",0,1)</f>
        <v>0</v>
      </c>
      <c r="BB15">
        <f>IF(Table13[[#This Row],[Do you provide clinical care for the management of infertility?]]="No",0,1)</f>
        <v>0</v>
      </c>
      <c r="BC15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5">
        <f>IF(Table13[[#This Row],[Do you have access to evidence-based clinical guidelines at your workplace?]]="No",0,1)</f>
        <v>1</v>
      </c>
      <c r="BE15">
        <f>IF(OR(Table13[[#This Row],[What is your practice setting? (Select all that apply.)]]="University hospital ;",Table13[[#This Row],[What is your practice setting? (Select all that apply.)]]="Public hospital ;"),1,0)</f>
        <v>1</v>
      </c>
      <c r="BF15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6" spans="1:58" ht="16" x14ac:dyDescent="0.2">
      <c r="A16" s="4">
        <v>74</v>
      </c>
      <c r="B16" s="5">
        <v>46144.563831018517</v>
      </c>
      <c r="C16" s="5">
        <v>46144.565648148149</v>
      </c>
      <c r="D16" s="4" t="s">
        <v>29</v>
      </c>
      <c r="E16" s="6">
        <v>1996</v>
      </c>
      <c r="F16" s="4" t="s">
        <v>30</v>
      </c>
      <c r="G16" s="6">
        <v>2020</v>
      </c>
      <c r="H16" s="4" t="s">
        <v>50</v>
      </c>
      <c r="I16" s="4" t="s">
        <v>32</v>
      </c>
      <c r="J16" s="4" t="s">
        <v>32</v>
      </c>
      <c r="K16" s="4" t="s">
        <v>34</v>
      </c>
      <c r="L16" s="4" t="s">
        <v>43</v>
      </c>
      <c r="M16" s="4" t="s">
        <v>36</v>
      </c>
      <c r="N16" s="4" t="s">
        <v>36</v>
      </c>
      <c r="O16" s="4" t="s">
        <v>36</v>
      </c>
      <c r="P16" s="4" t="s">
        <v>36</v>
      </c>
      <c r="Q16" s="4" t="s">
        <v>36</v>
      </c>
      <c r="R16" s="4" t="s">
        <v>36</v>
      </c>
      <c r="S16" s="4" t="s">
        <v>36</v>
      </c>
      <c r="T16" s="4" t="s">
        <v>36</v>
      </c>
      <c r="U16" s="4" t="s">
        <v>36</v>
      </c>
      <c r="V16" s="4" t="s">
        <v>36</v>
      </c>
      <c r="W16" s="4" t="s">
        <v>36</v>
      </c>
      <c r="X16" s="4" t="s">
        <v>36</v>
      </c>
      <c r="Y16" s="4" t="s">
        <v>36</v>
      </c>
      <c r="Z16" s="4" t="s">
        <v>36</v>
      </c>
      <c r="AA16" s="4" t="s">
        <v>36</v>
      </c>
      <c r="AB16" s="4" t="s">
        <v>33</v>
      </c>
      <c r="AC16" s="4" t="s">
        <v>82</v>
      </c>
      <c r="AF16" s="7">
        <f>Table13[[#This Row],[Completion time]]-Table13[[#This Row],[Start time]]</f>
        <v>1.8171296323998831E-3</v>
      </c>
      <c r="AG16" s="8">
        <f>2026-Table13[[#This Row],[What is your year of birth? ]]</f>
        <v>30</v>
      </c>
      <c r="AH16">
        <f>2026-Table13[[#This Row],[Please indicate the year you graduated from the Faculty of Medicine]]</f>
        <v>6</v>
      </c>
      <c r="AI16">
        <f t="shared" si="1"/>
        <v>0</v>
      </c>
      <c r="AJ16">
        <f t="shared" si="2"/>
        <v>0</v>
      </c>
      <c r="AK16">
        <f t="shared" si="3"/>
        <v>0</v>
      </c>
      <c r="AL16">
        <f t="shared" si="4"/>
        <v>0</v>
      </c>
      <c r="AM16">
        <f t="shared" si="5"/>
        <v>0</v>
      </c>
      <c r="AN16">
        <f t="shared" si="6"/>
        <v>0</v>
      </c>
      <c r="AO16">
        <f t="shared" si="7"/>
        <v>0</v>
      </c>
      <c r="AP16">
        <f t="shared" si="8"/>
        <v>0</v>
      </c>
      <c r="AQ16">
        <f t="shared" si="9"/>
        <v>0</v>
      </c>
      <c r="AR16">
        <f t="shared" si="10"/>
        <v>0</v>
      </c>
      <c r="AS16">
        <f t="shared" si="11"/>
        <v>0</v>
      </c>
      <c r="AT16">
        <f t="shared" si="12"/>
        <v>0</v>
      </c>
      <c r="AU16">
        <f t="shared" si="13"/>
        <v>0</v>
      </c>
      <c r="AV16">
        <f t="shared" si="14"/>
        <v>0</v>
      </c>
      <c r="AW16">
        <f t="shared" si="15"/>
        <v>0</v>
      </c>
      <c r="AX16">
        <f t="shared" si="16"/>
        <v>0</v>
      </c>
      <c r="AY16">
        <f>IF(Table13[[#This Row],[Please choose your sex]]="Male",0,1)</f>
        <v>0</v>
      </c>
      <c r="AZ16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6">
        <f>IF(Table13[[#This Row],[Do you hold a subspecialty qualification (degree / certificate) in Reproductive Endocrinology and Infertility?
]]="No",0,1)</f>
        <v>0</v>
      </c>
      <c r="BB16">
        <f>IF(Table13[[#This Row],[Do you provide clinical care for the management of infertility?]]="No",0,1)</f>
        <v>0</v>
      </c>
      <c r="BC16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6">
        <f>IF(Table13[[#This Row],[Do you have access to evidence-based clinical guidelines at your workplace?]]="No",0,1)</f>
        <v>1</v>
      </c>
      <c r="BE16">
        <f>IF(OR(Table13[[#This Row],[What is your practice setting? (Select all that apply.)]]="University hospital ;",Table13[[#This Row],[What is your practice setting? (Select all that apply.)]]="Public hospital ;"),1,0)</f>
        <v>1</v>
      </c>
      <c r="BF16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7" spans="1:58" ht="16" x14ac:dyDescent="0.2">
      <c r="A17" s="4">
        <v>98</v>
      </c>
      <c r="B17" s="5">
        <v>46181.65520833333</v>
      </c>
      <c r="C17" s="5">
        <v>46181.657847222225</v>
      </c>
      <c r="D17" s="4" t="s">
        <v>29</v>
      </c>
      <c r="E17" s="6">
        <v>1996</v>
      </c>
      <c r="F17" s="4" t="s">
        <v>44</v>
      </c>
      <c r="G17" s="6">
        <v>1996</v>
      </c>
      <c r="H17" s="4" t="s">
        <v>50</v>
      </c>
      <c r="I17" s="4" t="s">
        <v>32</v>
      </c>
      <c r="J17" s="4" t="s">
        <v>32</v>
      </c>
      <c r="K17" s="4" t="s">
        <v>34</v>
      </c>
      <c r="L17" s="4" t="s">
        <v>43</v>
      </c>
      <c r="M17" s="4" t="s">
        <v>37</v>
      </c>
      <c r="N17" s="4" t="s">
        <v>37</v>
      </c>
      <c r="O17" s="4" t="s">
        <v>36</v>
      </c>
      <c r="P17" s="4" t="s">
        <v>36</v>
      </c>
      <c r="Q17" s="4" t="s">
        <v>37</v>
      </c>
      <c r="R17" s="4" t="s">
        <v>37</v>
      </c>
      <c r="S17" s="4" t="s">
        <v>37</v>
      </c>
      <c r="T17" s="4" t="s">
        <v>36</v>
      </c>
      <c r="U17" s="4" t="s">
        <v>37</v>
      </c>
      <c r="V17" s="4" t="s">
        <v>37</v>
      </c>
      <c r="W17" s="4" t="s">
        <v>37</v>
      </c>
      <c r="X17" s="4" t="s">
        <v>36</v>
      </c>
      <c r="Y17" s="4" t="s">
        <v>36</v>
      </c>
      <c r="Z17" s="4" t="s">
        <v>37</v>
      </c>
      <c r="AA17" s="4" t="s">
        <v>36</v>
      </c>
      <c r="AB17" s="4" t="s">
        <v>33</v>
      </c>
      <c r="AC17" s="4" t="s">
        <v>40</v>
      </c>
      <c r="AF17" s="7">
        <f>Table13[[#This Row],[Completion time]]-Table13[[#This Row],[Start time]]</f>
        <v>2.6388888945803046E-3</v>
      </c>
      <c r="AG17" s="8">
        <f>2026-Table13[[#This Row],[What is your year of birth? ]]</f>
        <v>30</v>
      </c>
      <c r="AH17">
        <f>2026-Table13[[#This Row],[Please indicate the year you graduated from the Faculty of Medicine]]</f>
        <v>30</v>
      </c>
      <c r="AI17">
        <f t="shared" si="1"/>
        <v>0</v>
      </c>
      <c r="AJ17">
        <f t="shared" si="2"/>
        <v>0</v>
      </c>
      <c r="AK17">
        <f t="shared" si="3"/>
        <v>0</v>
      </c>
      <c r="AL17">
        <f t="shared" si="4"/>
        <v>0</v>
      </c>
      <c r="AM17">
        <f t="shared" si="5"/>
        <v>1</v>
      </c>
      <c r="AN17">
        <f t="shared" si="6"/>
        <v>0</v>
      </c>
      <c r="AO17">
        <f t="shared" si="7"/>
        <v>0</v>
      </c>
      <c r="AP17">
        <f t="shared" si="8"/>
        <v>0</v>
      </c>
      <c r="AQ17">
        <f t="shared" si="9"/>
        <v>1</v>
      </c>
      <c r="AR17">
        <f t="shared" si="10"/>
        <v>0</v>
      </c>
      <c r="AS17">
        <f t="shared" si="11"/>
        <v>0</v>
      </c>
      <c r="AT17">
        <f t="shared" si="12"/>
        <v>0</v>
      </c>
      <c r="AU17">
        <f t="shared" si="13"/>
        <v>0</v>
      </c>
      <c r="AV17">
        <f t="shared" si="14"/>
        <v>0</v>
      </c>
      <c r="AW17">
        <f t="shared" si="15"/>
        <v>0</v>
      </c>
      <c r="AX17">
        <f t="shared" si="16"/>
        <v>2</v>
      </c>
      <c r="AY17">
        <f>IF(Table13[[#This Row],[Please choose your sex]]="Male",0,1)</f>
        <v>1</v>
      </c>
      <c r="AZ17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7">
        <f>IF(Table13[[#This Row],[Do you hold a subspecialty qualification (degree / certificate) in Reproductive Endocrinology and Infertility?
]]="No",0,1)</f>
        <v>0</v>
      </c>
      <c r="BB17">
        <f>IF(Table13[[#This Row],[Do you provide clinical care for the management of infertility?]]="No",0,1)</f>
        <v>0</v>
      </c>
      <c r="BC17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7">
        <f>IF(Table13[[#This Row],[Do you have access to evidence-based clinical guidelines at your workplace?]]="No",0,1)</f>
        <v>1</v>
      </c>
      <c r="BE17">
        <f>IF(OR(Table13[[#This Row],[What is your practice setting? (Select all that apply.)]]="University hospital ;",Table13[[#This Row],[What is your practice setting? (Select all that apply.)]]="Public hospital ;"),1,0)</f>
        <v>1</v>
      </c>
      <c r="BF17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8" spans="1:58" ht="16" x14ac:dyDescent="0.2">
      <c r="A18" s="4">
        <v>105</v>
      </c>
      <c r="B18" s="5">
        <v>46182.948518518519</v>
      </c>
      <c r="C18" s="5">
        <v>46182.953784722224</v>
      </c>
      <c r="D18" s="4" t="s">
        <v>29</v>
      </c>
      <c r="E18" s="6">
        <v>1980</v>
      </c>
      <c r="F18" s="4" t="s">
        <v>30</v>
      </c>
      <c r="G18" s="6">
        <v>2003</v>
      </c>
      <c r="H18" s="4" t="s">
        <v>50</v>
      </c>
      <c r="I18" s="4" t="s">
        <v>32</v>
      </c>
      <c r="J18" s="4" t="s">
        <v>32</v>
      </c>
      <c r="K18" s="4" t="s">
        <v>34</v>
      </c>
      <c r="L18" s="4" t="s">
        <v>70</v>
      </c>
      <c r="M18" s="4" t="s">
        <v>37</v>
      </c>
      <c r="N18" s="4" t="s">
        <v>37</v>
      </c>
      <c r="O18" s="4" t="s">
        <v>37</v>
      </c>
      <c r="P18" s="4" t="s">
        <v>37</v>
      </c>
      <c r="Q18" s="4" t="s">
        <v>37</v>
      </c>
      <c r="R18" s="4" t="s">
        <v>37</v>
      </c>
      <c r="S18" s="4" t="s">
        <v>37</v>
      </c>
      <c r="T18" s="4" t="s">
        <v>38</v>
      </c>
      <c r="U18" s="4" t="s">
        <v>37</v>
      </c>
      <c r="V18" s="4" t="s">
        <v>37</v>
      </c>
      <c r="W18" s="4" t="s">
        <v>38</v>
      </c>
      <c r="X18" s="4" t="s">
        <v>37</v>
      </c>
      <c r="Y18" s="4" t="s">
        <v>37</v>
      </c>
      <c r="Z18" s="4" t="s">
        <v>38</v>
      </c>
      <c r="AA18" s="4" t="s">
        <v>36</v>
      </c>
      <c r="AB18" s="4" t="s">
        <v>33</v>
      </c>
      <c r="AC18" s="4" t="s">
        <v>40</v>
      </c>
      <c r="AF18" s="7">
        <f>Table13[[#This Row],[Completion time]]-Table13[[#This Row],[Start time]]</f>
        <v>5.2662037051049992E-3</v>
      </c>
      <c r="AG18" s="8">
        <f>2026-Table13[[#This Row],[What is your year of birth? ]]</f>
        <v>46</v>
      </c>
      <c r="AH18">
        <f>2026-Table13[[#This Row],[Please indicate the year you graduated from the Faculty of Medicine]]</f>
        <v>23</v>
      </c>
      <c r="AI18">
        <f t="shared" si="1"/>
        <v>0</v>
      </c>
      <c r="AJ18">
        <f t="shared" si="2"/>
        <v>0</v>
      </c>
      <c r="AK18">
        <f t="shared" si="3"/>
        <v>0</v>
      </c>
      <c r="AL18">
        <f t="shared" si="4"/>
        <v>0</v>
      </c>
      <c r="AM18">
        <f t="shared" si="5"/>
        <v>1</v>
      </c>
      <c r="AN18">
        <f t="shared" si="6"/>
        <v>0</v>
      </c>
      <c r="AO18">
        <f t="shared" si="7"/>
        <v>0</v>
      </c>
      <c r="AP18">
        <f t="shared" si="8"/>
        <v>1</v>
      </c>
      <c r="AQ18">
        <f t="shared" si="9"/>
        <v>1</v>
      </c>
      <c r="AR18">
        <f t="shared" si="10"/>
        <v>0</v>
      </c>
      <c r="AS18">
        <f t="shared" si="11"/>
        <v>1</v>
      </c>
      <c r="AT18">
        <f t="shared" si="12"/>
        <v>0</v>
      </c>
      <c r="AU18">
        <f t="shared" si="13"/>
        <v>0</v>
      </c>
      <c r="AV18">
        <f t="shared" si="14"/>
        <v>1</v>
      </c>
      <c r="AW18">
        <f t="shared" si="15"/>
        <v>0</v>
      </c>
      <c r="AX18">
        <f t="shared" si="16"/>
        <v>5</v>
      </c>
      <c r="AY18">
        <f>IF(Table13[[#This Row],[Please choose your sex]]="Male",0,1)</f>
        <v>0</v>
      </c>
      <c r="AZ18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8">
        <f>IF(Table13[[#This Row],[Do you hold a subspecialty qualification (degree / certificate) in Reproductive Endocrinology and Infertility?
]]="No",0,1)</f>
        <v>0</v>
      </c>
      <c r="BB18">
        <f>IF(Table13[[#This Row],[Do you provide clinical care for the management of infertility?]]="No",0,1)</f>
        <v>0</v>
      </c>
      <c r="BC18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8">
        <f>IF(Table13[[#This Row],[Do you have access to evidence-based clinical guidelines at your workplace?]]="No",0,1)</f>
        <v>1</v>
      </c>
      <c r="BE18">
        <f>IF(OR(Table13[[#This Row],[What is your practice setting? (Select all that apply.)]]="University hospital ;",Table13[[#This Row],[What is your practice setting? (Select all that apply.)]]="Public hospital ;"),1,0)</f>
        <v>1</v>
      </c>
      <c r="BF18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9" spans="1:58" ht="16" x14ac:dyDescent="0.2">
      <c r="A19" s="4">
        <v>111</v>
      </c>
      <c r="B19" s="5">
        <v>46187.41746527778</v>
      </c>
      <c r="C19" s="5">
        <v>46187.418506944443</v>
      </c>
      <c r="D19" s="4" t="s">
        <v>29</v>
      </c>
      <c r="E19" s="6">
        <v>1996</v>
      </c>
      <c r="F19" s="4" t="s">
        <v>30</v>
      </c>
      <c r="G19" s="6">
        <v>2020</v>
      </c>
      <c r="H19" s="4" t="s">
        <v>50</v>
      </c>
      <c r="I19" s="4" t="s">
        <v>32</v>
      </c>
      <c r="J19" s="4" t="s">
        <v>32</v>
      </c>
      <c r="K19" s="4" t="s">
        <v>34</v>
      </c>
      <c r="L19" s="4" t="s">
        <v>43</v>
      </c>
      <c r="M19" s="4" t="s">
        <v>37</v>
      </c>
      <c r="N19" s="4" t="s">
        <v>37</v>
      </c>
      <c r="O19" s="4" t="s">
        <v>37</v>
      </c>
      <c r="P19" s="4" t="s">
        <v>37</v>
      </c>
      <c r="Q19" s="4" t="s">
        <v>37</v>
      </c>
      <c r="R19" s="4" t="s">
        <v>37</v>
      </c>
      <c r="S19" s="4" t="s">
        <v>37</v>
      </c>
      <c r="T19" s="4" t="s">
        <v>37</v>
      </c>
      <c r="U19" s="4" t="s">
        <v>37</v>
      </c>
      <c r="V19" s="4" t="s">
        <v>37</v>
      </c>
      <c r="W19" s="4" t="s">
        <v>37</v>
      </c>
      <c r="X19" s="4" t="s">
        <v>37</v>
      </c>
      <c r="Y19" s="4" t="s">
        <v>37</v>
      </c>
      <c r="Z19" s="4" t="s">
        <v>37</v>
      </c>
      <c r="AA19" s="4" t="s">
        <v>37</v>
      </c>
      <c r="AB19" s="4" t="s">
        <v>33</v>
      </c>
      <c r="AC19" s="4" t="s">
        <v>65</v>
      </c>
      <c r="AF19" s="7">
        <f>Table13[[#This Row],[Completion time]]-Table13[[#This Row],[Start time]]</f>
        <v>1.0416666627861559E-3</v>
      </c>
      <c r="AG19" s="8">
        <f>2026-Table13[[#This Row],[What is your year of birth? ]]</f>
        <v>30</v>
      </c>
      <c r="AH19">
        <f>2026-Table13[[#This Row],[Please indicate the year you graduated from the Faculty of Medicine]]</f>
        <v>6</v>
      </c>
      <c r="AI19">
        <f t="shared" si="1"/>
        <v>0</v>
      </c>
      <c r="AJ19">
        <f t="shared" si="2"/>
        <v>0</v>
      </c>
      <c r="AK19">
        <f t="shared" si="3"/>
        <v>0</v>
      </c>
      <c r="AL19">
        <f t="shared" si="4"/>
        <v>0</v>
      </c>
      <c r="AM19">
        <f t="shared" si="5"/>
        <v>1</v>
      </c>
      <c r="AN19">
        <f t="shared" si="6"/>
        <v>0</v>
      </c>
      <c r="AO19">
        <f t="shared" si="7"/>
        <v>0</v>
      </c>
      <c r="AP19">
        <f t="shared" si="8"/>
        <v>0</v>
      </c>
      <c r="AQ19">
        <f t="shared" si="9"/>
        <v>1</v>
      </c>
      <c r="AR19">
        <f t="shared" si="10"/>
        <v>0</v>
      </c>
      <c r="AS19">
        <f t="shared" si="11"/>
        <v>0</v>
      </c>
      <c r="AT19">
        <f t="shared" si="12"/>
        <v>0</v>
      </c>
      <c r="AU19">
        <f t="shared" si="13"/>
        <v>0</v>
      </c>
      <c r="AV19">
        <f t="shared" si="14"/>
        <v>0</v>
      </c>
      <c r="AW19">
        <f t="shared" si="15"/>
        <v>0</v>
      </c>
      <c r="AX19">
        <f t="shared" si="16"/>
        <v>2</v>
      </c>
      <c r="AY19">
        <f>IF(Table13[[#This Row],[Please choose your sex]]="Male",0,1)</f>
        <v>0</v>
      </c>
      <c r="AZ19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9">
        <f>IF(Table13[[#This Row],[Do you hold a subspecialty qualification (degree / certificate) in Reproductive Endocrinology and Infertility?
]]="No",0,1)</f>
        <v>0</v>
      </c>
      <c r="BB19">
        <f>IF(Table13[[#This Row],[Do you provide clinical care for the management of infertility?]]="No",0,1)</f>
        <v>0</v>
      </c>
      <c r="BC19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9">
        <f>IF(Table13[[#This Row],[Do you have access to evidence-based clinical guidelines at your workplace?]]="No",0,1)</f>
        <v>1</v>
      </c>
      <c r="BE19">
        <f>IF(OR(Table13[[#This Row],[What is your practice setting? (Select all that apply.)]]="University hospital ;",Table13[[#This Row],[What is your practice setting? (Select all that apply.)]]="Public hospital ;"),1,0)</f>
        <v>1</v>
      </c>
      <c r="BF19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20" spans="1:58" ht="16" x14ac:dyDescent="0.2">
      <c r="A20" s="4">
        <v>117</v>
      </c>
      <c r="B20" s="5">
        <v>46198.717303240737</v>
      </c>
      <c r="C20" s="5">
        <v>46198.727129629631</v>
      </c>
      <c r="D20" s="4" t="s">
        <v>29</v>
      </c>
      <c r="E20" s="6">
        <v>1995</v>
      </c>
      <c r="F20" s="4" t="s">
        <v>44</v>
      </c>
      <c r="G20" s="6">
        <v>2018</v>
      </c>
      <c r="H20" s="4" t="s">
        <v>50</v>
      </c>
      <c r="I20" s="4" t="s">
        <v>32</v>
      </c>
      <c r="J20" s="4" t="s">
        <v>32</v>
      </c>
      <c r="K20" s="4" t="s">
        <v>34</v>
      </c>
      <c r="L20" s="4" t="s">
        <v>43</v>
      </c>
      <c r="M20" s="4" t="s">
        <v>36</v>
      </c>
      <c r="N20" s="4" t="s">
        <v>38</v>
      </c>
      <c r="O20" s="4" t="s">
        <v>37</v>
      </c>
      <c r="P20" s="4" t="s">
        <v>37</v>
      </c>
      <c r="Q20" s="4" t="s">
        <v>37</v>
      </c>
      <c r="R20" s="4" t="s">
        <v>36</v>
      </c>
      <c r="S20" s="4" t="s">
        <v>36</v>
      </c>
      <c r="T20" s="4" t="s">
        <v>37</v>
      </c>
      <c r="U20" s="4" t="s">
        <v>37</v>
      </c>
      <c r="V20" s="4" t="s">
        <v>36</v>
      </c>
      <c r="W20" s="4" t="s">
        <v>37</v>
      </c>
      <c r="X20" s="4" t="s">
        <v>37</v>
      </c>
      <c r="Y20" s="4" t="s">
        <v>37</v>
      </c>
      <c r="Z20" s="4" t="s">
        <v>37</v>
      </c>
      <c r="AA20" s="4" t="s">
        <v>36</v>
      </c>
      <c r="AB20" s="4" t="s">
        <v>33</v>
      </c>
      <c r="AC20" s="4" t="s">
        <v>68</v>
      </c>
      <c r="AF20" s="7">
        <f>Table13[[#This Row],[Completion time]]-Table13[[#This Row],[Start time]]</f>
        <v>9.826388893998228E-3</v>
      </c>
      <c r="AG20" s="8">
        <f>2026-Table13[[#This Row],[What is your year of birth? ]]</f>
        <v>31</v>
      </c>
      <c r="AH20">
        <f>2026-Table13[[#This Row],[Please indicate the year you graduated from the Faculty of Medicine]]</f>
        <v>8</v>
      </c>
      <c r="AI20">
        <f t="shared" si="1"/>
        <v>0</v>
      </c>
      <c r="AJ20">
        <f t="shared" si="2"/>
        <v>1</v>
      </c>
      <c r="AK20">
        <f t="shared" si="3"/>
        <v>0</v>
      </c>
      <c r="AL20">
        <f t="shared" si="4"/>
        <v>0</v>
      </c>
      <c r="AM20">
        <f t="shared" si="5"/>
        <v>1</v>
      </c>
      <c r="AN20">
        <f t="shared" si="6"/>
        <v>0</v>
      </c>
      <c r="AO20">
        <f t="shared" si="7"/>
        <v>0</v>
      </c>
      <c r="AP20">
        <f t="shared" si="8"/>
        <v>0</v>
      </c>
      <c r="AQ20">
        <f t="shared" si="9"/>
        <v>1</v>
      </c>
      <c r="AR20">
        <f t="shared" si="10"/>
        <v>0</v>
      </c>
      <c r="AS20">
        <f t="shared" si="11"/>
        <v>0</v>
      </c>
      <c r="AT20">
        <f t="shared" si="12"/>
        <v>0</v>
      </c>
      <c r="AU20">
        <f t="shared" si="13"/>
        <v>0</v>
      </c>
      <c r="AV20">
        <f t="shared" si="14"/>
        <v>0</v>
      </c>
      <c r="AW20">
        <f t="shared" si="15"/>
        <v>0</v>
      </c>
      <c r="AX20">
        <f t="shared" si="16"/>
        <v>3</v>
      </c>
      <c r="AY20">
        <f>IF(Table13[[#This Row],[Please choose your sex]]="Male",0,1)</f>
        <v>1</v>
      </c>
      <c r="AZ20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20">
        <f>IF(Table13[[#This Row],[Do you hold a subspecialty qualification (degree / certificate) in Reproductive Endocrinology and Infertility?
]]="No",0,1)</f>
        <v>0</v>
      </c>
      <c r="BB20">
        <f>IF(Table13[[#This Row],[Do you provide clinical care for the management of infertility?]]="No",0,1)</f>
        <v>0</v>
      </c>
      <c r="BC20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20">
        <f>IF(Table13[[#This Row],[Do you have access to evidence-based clinical guidelines at your workplace?]]="No",0,1)</f>
        <v>1</v>
      </c>
      <c r="BE20">
        <f>IF(OR(Table13[[#This Row],[What is your practice setting? (Select all that apply.)]]="University hospital ;",Table13[[#This Row],[What is your practice setting? (Select all that apply.)]]="Public hospital ;"),1,0)</f>
        <v>1</v>
      </c>
      <c r="BF20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21" spans="1:58" ht="16" x14ac:dyDescent="0.2">
      <c r="A21" s="4">
        <v>122</v>
      </c>
      <c r="B21" s="5">
        <v>46198.786944444444</v>
      </c>
      <c r="C21" s="5">
        <v>46198.793564814812</v>
      </c>
      <c r="D21" s="4" t="s">
        <v>29</v>
      </c>
      <c r="E21" s="6">
        <v>1992</v>
      </c>
      <c r="F21" s="4" t="s">
        <v>44</v>
      </c>
      <c r="G21" s="6">
        <v>2018</v>
      </c>
      <c r="H21" s="4" t="s">
        <v>50</v>
      </c>
      <c r="I21" s="4" t="s">
        <v>32</v>
      </c>
      <c r="J21" s="4" t="s">
        <v>32</v>
      </c>
      <c r="K21" s="4" t="s">
        <v>34</v>
      </c>
      <c r="L21" s="4" t="s">
        <v>70</v>
      </c>
      <c r="M21" s="4" t="s">
        <v>37</v>
      </c>
      <c r="N21" s="4" t="s">
        <v>37</v>
      </c>
      <c r="O21" s="4" t="s">
        <v>37</v>
      </c>
      <c r="P21" s="4" t="s">
        <v>36</v>
      </c>
      <c r="Q21" s="4" t="s">
        <v>37</v>
      </c>
      <c r="R21" s="4" t="s">
        <v>37</v>
      </c>
      <c r="S21" s="4" t="s">
        <v>37</v>
      </c>
      <c r="T21" s="4" t="s">
        <v>36</v>
      </c>
      <c r="U21" s="4" t="s">
        <v>36</v>
      </c>
      <c r="V21" s="4" t="s">
        <v>37</v>
      </c>
      <c r="W21" s="4" t="s">
        <v>38</v>
      </c>
      <c r="X21" s="4" t="s">
        <v>36</v>
      </c>
      <c r="Y21" s="4" t="s">
        <v>37</v>
      </c>
      <c r="Z21" s="4" t="s">
        <v>37</v>
      </c>
      <c r="AA21" s="4" t="s">
        <v>36</v>
      </c>
      <c r="AB21" s="4" t="s">
        <v>33</v>
      </c>
      <c r="AC21" s="4" t="s">
        <v>106</v>
      </c>
      <c r="AF21" s="7">
        <f>Table13[[#This Row],[Completion time]]-Table13[[#This Row],[Start time]]</f>
        <v>6.6203703681821935E-3</v>
      </c>
      <c r="AG21" s="8">
        <f>2026-Table13[[#This Row],[What is your year of birth? ]]</f>
        <v>34</v>
      </c>
      <c r="AH21">
        <f>2026-Table13[[#This Row],[Please indicate the year you graduated from the Faculty of Medicine]]</f>
        <v>8</v>
      </c>
      <c r="AI21">
        <f t="shared" si="1"/>
        <v>0</v>
      </c>
      <c r="AJ21">
        <f t="shared" si="2"/>
        <v>0</v>
      </c>
      <c r="AK21">
        <f t="shared" si="3"/>
        <v>0</v>
      </c>
      <c r="AL21">
        <f t="shared" si="4"/>
        <v>0</v>
      </c>
      <c r="AM21">
        <f t="shared" si="5"/>
        <v>1</v>
      </c>
      <c r="AN21">
        <f t="shared" si="6"/>
        <v>0</v>
      </c>
      <c r="AO21">
        <f t="shared" si="7"/>
        <v>0</v>
      </c>
      <c r="AP21">
        <f t="shared" si="8"/>
        <v>0</v>
      </c>
      <c r="AQ21">
        <f t="shared" si="9"/>
        <v>0</v>
      </c>
      <c r="AR21">
        <f t="shared" si="10"/>
        <v>0</v>
      </c>
      <c r="AS21">
        <f t="shared" si="11"/>
        <v>1</v>
      </c>
      <c r="AT21">
        <f t="shared" si="12"/>
        <v>0</v>
      </c>
      <c r="AU21">
        <f t="shared" si="13"/>
        <v>0</v>
      </c>
      <c r="AV21">
        <f t="shared" si="14"/>
        <v>0</v>
      </c>
      <c r="AW21">
        <f t="shared" si="15"/>
        <v>0</v>
      </c>
      <c r="AX21">
        <f t="shared" si="16"/>
        <v>2</v>
      </c>
      <c r="AY21">
        <f>IF(Table13[[#This Row],[Please choose your sex]]="Male",0,1)</f>
        <v>1</v>
      </c>
      <c r="AZ21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21">
        <f>IF(Table13[[#This Row],[Do you hold a subspecialty qualification (degree / certificate) in Reproductive Endocrinology and Infertility?
]]="No",0,1)</f>
        <v>0</v>
      </c>
      <c r="BB21">
        <f>IF(Table13[[#This Row],[Do you provide clinical care for the management of infertility?]]="No",0,1)</f>
        <v>0</v>
      </c>
      <c r="BC21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21">
        <f>IF(Table13[[#This Row],[Do you have access to evidence-based clinical guidelines at your workplace?]]="No",0,1)</f>
        <v>1</v>
      </c>
      <c r="BE21">
        <f>IF(OR(Table13[[#This Row],[What is your practice setting? (Select all that apply.)]]="University hospital ;",Table13[[#This Row],[What is your practice setting? (Select all that apply.)]]="Public hospital ;"),1,0)</f>
        <v>1</v>
      </c>
      <c r="BF21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22" spans="1:58" ht="16" x14ac:dyDescent="0.2">
      <c r="A22" s="4">
        <v>129</v>
      </c>
      <c r="B22" s="5">
        <v>46199.075532407405</v>
      </c>
      <c r="C22" s="5">
        <v>46199.08053240741</v>
      </c>
      <c r="D22" s="4" t="s">
        <v>29</v>
      </c>
      <c r="E22" s="6">
        <v>1992</v>
      </c>
      <c r="F22" s="4" t="s">
        <v>30</v>
      </c>
      <c r="G22" s="6">
        <v>2017</v>
      </c>
      <c r="H22" s="4" t="s">
        <v>75</v>
      </c>
      <c r="I22" s="4" t="s">
        <v>32</v>
      </c>
      <c r="J22" s="4" t="s">
        <v>32</v>
      </c>
      <c r="K22" s="4" t="s">
        <v>34</v>
      </c>
      <c r="L22" s="4" t="s">
        <v>74</v>
      </c>
      <c r="M22" s="4" t="s">
        <v>38</v>
      </c>
      <c r="N22" s="4" t="s">
        <v>37</v>
      </c>
      <c r="O22" s="4" t="s">
        <v>36</v>
      </c>
      <c r="P22" s="4" t="s">
        <v>36</v>
      </c>
      <c r="Q22" s="4" t="s">
        <v>39</v>
      </c>
      <c r="R22" s="4" t="s">
        <v>36</v>
      </c>
      <c r="S22" s="4" t="s">
        <v>37</v>
      </c>
      <c r="T22" s="4" t="s">
        <v>38</v>
      </c>
      <c r="U22" s="4" t="s">
        <v>37</v>
      </c>
      <c r="V22" s="4" t="s">
        <v>36</v>
      </c>
      <c r="W22" s="4" t="s">
        <v>36</v>
      </c>
      <c r="X22" s="4" t="s">
        <v>36</v>
      </c>
      <c r="Y22" s="4" t="s">
        <v>39</v>
      </c>
      <c r="Z22" s="4" t="s">
        <v>38</v>
      </c>
      <c r="AA22" s="4" t="s">
        <v>38</v>
      </c>
      <c r="AB22" s="4" t="s">
        <v>33</v>
      </c>
      <c r="AC22" s="4" t="s">
        <v>48</v>
      </c>
      <c r="AF22" s="7">
        <f>Table13[[#This Row],[Completion time]]-Table13[[#This Row],[Start time]]</f>
        <v>5.0000000046566129E-3</v>
      </c>
      <c r="AG22" s="8">
        <f>2026-Table13[[#This Row],[What is your year of birth? ]]</f>
        <v>34</v>
      </c>
      <c r="AH22">
        <f>2026-Table13[[#This Row],[Please indicate the year you graduated from the Faculty of Medicine]]</f>
        <v>9</v>
      </c>
      <c r="AI22">
        <f t="shared" si="1"/>
        <v>1</v>
      </c>
      <c r="AJ22">
        <f t="shared" si="2"/>
        <v>0</v>
      </c>
      <c r="AK22">
        <f t="shared" si="3"/>
        <v>0</v>
      </c>
      <c r="AL22">
        <f t="shared" si="4"/>
        <v>0</v>
      </c>
      <c r="AM22">
        <f t="shared" si="5"/>
        <v>1</v>
      </c>
      <c r="AN22">
        <f t="shared" si="6"/>
        <v>0</v>
      </c>
      <c r="AO22">
        <f t="shared" si="7"/>
        <v>0</v>
      </c>
      <c r="AP22">
        <f t="shared" si="8"/>
        <v>1</v>
      </c>
      <c r="AQ22">
        <f t="shared" si="9"/>
        <v>1</v>
      </c>
      <c r="AR22">
        <f t="shared" si="10"/>
        <v>0</v>
      </c>
      <c r="AS22">
        <f t="shared" si="11"/>
        <v>0</v>
      </c>
      <c r="AT22">
        <f t="shared" si="12"/>
        <v>0</v>
      </c>
      <c r="AU22">
        <f t="shared" si="13"/>
        <v>0</v>
      </c>
      <c r="AV22">
        <f t="shared" si="14"/>
        <v>1</v>
      </c>
      <c r="AW22">
        <f t="shared" si="15"/>
        <v>1</v>
      </c>
      <c r="AX22">
        <f t="shared" si="16"/>
        <v>6</v>
      </c>
      <c r="AY22">
        <f>IF(Table13[[#This Row],[Please choose your sex]]="Male",0,1)</f>
        <v>0</v>
      </c>
      <c r="AZ22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22">
        <f>IF(Table13[[#This Row],[Do you hold a subspecialty qualification (degree / certificate) in Reproductive Endocrinology and Infertility?
]]="No",0,1)</f>
        <v>0</v>
      </c>
      <c r="BB22">
        <f>IF(Table13[[#This Row],[Do you provide clinical care for the management of infertility?]]="No",0,1)</f>
        <v>0</v>
      </c>
      <c r="BC22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22">
        <f>IF(Table13[[#This Row],[Do you have access to evidence-based clinical guidelines at your workplace?]]="No",0,1)</f>
        <v>1</v>
      </c>
      <c r="BE22">
        <f>IF(OR(Table13[[#This Row],[What is your practice setting? (Select all that apply.)]]="University hospital ;",Table13[[#This Row],[What is your practice setting? (Select all that apply.)]]="Public hospital ;"),1,0)</f>
        <v>0</v>
      </c>
      <c r="BF22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23" spans="1:58" ht="16" x14ac:dyDescent="0.2">
      <c r="A23" s="4">
        <v>130</v>
      </c>
      <c r="B23" s="5">
        <v>46199.084027777775</v>
      </c>
      <c r="C23" s="5">
        <v>46199.087465277778</v>
      </c>
      <c r="D23" s="4" t="s">
        <v>29</v>
      </c>
      <c r="E23" s="6">
        <v>1980</v>
      </c>
      <c r="F23" s="4" t="s">
        <v>44</v>
      </c>
      <c r="G23" s="6">
        <v>2003</v>
      </c>
      <c r="H23" s="4" t="s">
        <v>50</v>
      </c>
      <c r="I23" s="4" t="s">
        <v>32</v>
      </c>
      <c r="J23" s="4" t="s">
        <v>32</v>
      </c>
      <c r="K23" s="4" t="s">
        <v>34</v>
      </c>
      <c r="L23" s="4" t="s">
        <v>70</v>
      </c>
      <c r="M23" s="4" t="s">
        <v>38</v>
      </c>
      <c r="N23" s="4" t="s">
        <v>37</v>
      </c>
      <c r="O23" s="4" t="s">
        <v>37</v>
      </c>
      <c r="P23" s="4" t="s">
        <v>37</v>
      </c>
      <c r="Q23" s="4" t="s">
        <v>37</v>
      </c>
      <c r="R23" s="4" t="s">
        <v>38</v>
      </c>
      <c r="S23" s="4" t="s">
        <v>37</v>
      </c>
      <c r="T23" s="4" t="s">
        <v>37</v>
      </c>
      <c r="U23" s="4" t="s">
        <v>37</v>
      </c>
      <c r="V23" s="4" t="s">
        <v>37</v>
      </c>
      <c r="W23" s="4" t="s">
        <v>37</v>
      </c>
      <c r="X23" s="4" t="s">
        <v>37</v>
      </c>
      <c r="Y23" s="4" t="s">
        <v>37</v>
      </c>
      <c r="Z23" s="4" t="s">
        <v>39</v>
      </c>
      <c r="AA23" s="4" t="s">
        <v>38</v>
      </c>
      <c r="AB23" s="4" t="s">
        <v>32</v>
      </c>
      <c r="AC23" s="4" t="s">
        <v>65</v>
      </c>
      <c r="AF23" s="7">
        <f>Table13[[#This Row],[Completion time]]-Table13[[#This Row],[Start time]]</f>
        <v>3.4375000032014214E-3</v>
      </c>
      <c r="AG23" s="8">
        <f>2026-Table13[[#This Row],[What is your year of birth? ]]</f>
        <v>46</v>
      </c>
      <c r="AH23">
        <f>2026-Table13[[#This Row],[Please indicate the year you graduated from the Faculty of Medicine]]</f>
        <v>23</v>
      </c>
      <c r="AI23">
        <f t="shared" si="1"/>
        <v>1</v>
      </c>
      <c r="AJ23">
        <f t="shared" si="2"/>
        <v>0</v>
      </c>
      <c r="AK23">
        <f t="shared" si="3"/>
        <v>0</v>
      </c>
      <c r="AL23">
        <f t="shared" si="4"/>
        <v>0</v>
      </c>
      <c r="AM23">
        <f t="shared" si="5"/>
        <v>1</v>
      </c>
      <c r="AN23">
        <f t="shared" si="6"/>
        <v>1</v>
      </c>
      <c r="AO23">
        <f t="shared" si="7"/>
        <v>0</v>
      </c>
      <c r="AP23">
        <f t="shared" si="8"/>
        <v>0</v>
      </c>
      <c r="AQ23">
        <f t="shared" si="9"/>
        <v>1</v>
      </c>
      <c r="AR23">
        <f t="shared" si="10"/>
        <v>0</v>
      </c>
      <c r="AS23">
        <f t="shared" si="11"/>
        <v>0</v>
      </c>
      <c r="AT23">
        <f t="shared" si="12"/>
        <v>0</v>
      </c>
      <c r="AU23">
        <f t="shared" si="13"/>
        <v>0</v>
      </c>
      <c r="AV23">
        <f t="shared" si="14"/>
        <v>0</v>
      </c>
      <c r="AW23">
        <f t="shared" si="15"/>
        <v>1</v>
      </c>
      <c r="AX23">
        <f t="shared" si="16"/>
        <v>5</v>
      </c>
      <c r="AY23">
        <f>IF(Table13[[#This Row],[Please choose your sex]]="Male",0,1)</f>
        <v>1</v>
      </c>
      <c r="AZ23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23">
        <f>IF(Table13[[#This Row],[Do you hold a subspecialty qualification (degree / certificate) in Reproductive Endocrinology and Infertility?
]]="No",0,1)</f>
        <v>0</v>
      </c>
      <c r="BB23">
        <f>IF(Table13[[#This Row],[Do you provide clinical care for the management of infertility?]]="No",0,1)</f>
        <v>0</v>
      </c>
      <c r="BC23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23">
        <f>IF(Table13[[#This Row],[Do you have access to evidence-based clinical guidelines at your workplace?]]="No",0,1)</f>
        <v>0</v>
      </c>
      <c r="BE23">
        <f>IF(OR(Table13[[#This Row],[What is your practice setting? (Select all that apply.)]]="University hospital ;",Table13[[#This Row],[What is your practice setting? (Select all that apply.)]]="Public hospital ;"),1,0)</f>
        <v>1</v>
      </c>
      <c r="BF23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24" spans="1:58" ht="16" x14ac:dyDescent="0.2">
      <c r="A24" s="4">
        <v>133</v>
      </c>
      <c r="B24" s="5">
        <v>46199.520474537036</v>
      </c>
      <c r="C24" s="5">
        <v>46199.524293981478</v>
      </c>
      <c r="D24" s="4" t="s">
        <v>29</v>
      </c>
      <c r="E24" s="6">
        <v>1995</v>
      </c>
      <c r="F24" s="4" t="s">
        <v>44</v>
      </c>
      <c r="G24" s="6">
        <v>2017</v>
      </c>
      <c r="H24" s="4" t="s">
        <v>50</v>
      </c>
      <c r="I24" s="4" t="s">
        <v>32</v>
      </c>
      <c r="J24" s="4" t="s">
        <v>32</v>
      </c>
      <c r="K24" s="4" t="s">
        <v>34</v>
      </c>
      <c r="L24" s="11" t="s">
        <v>72</v>
      </c>
      <c r="M24" s="4" t="s">
        <v>38</v>
      </c>
      <c r="N24" s="4" t="s">
        <v>37</v>
      </c>
      <c r="O24" s="4" t="s">
        <v>36</v>
      </c>
      <c r="P24" s="4" t="s">
        <v>38</v>
      </c>
      <c r="Q24" s="4" t="s">
        <v>36</v>
      </c>
      <c r="R24" s="4" t="s">
        <v>38</v>
      </c>
      <c r="S24" s="4" t="s">
        <v>36</v>
      </c>
      <c r="T24" s="4" t="s">
        <v>38</v>
      </c>
      <c r="U24" s="4" t="s">
        <v>37</v>
      </c>
      <c r="V24" s="4" t="s">
        <v>36</v>
      </c>
      <c r="W24" s="4" t="s">
        <v>36</v>
      </c>
      <c r="X24" s="4" t="s">
        <v>36</v>
      </c>
      <c r="Y24" s="4" t="s">
        <v>36</v>
      </c>
      <c r="Z24" s="4" t="s">
        <v>37</v>
      </c>
      <c r="AA24" s="4" t="s">
        <v>38</v>
      </c>
      <c r="AB24" s="4" t="s">
        <v>33</v>
      </c>
      <c r="AC24" s="4" t="s">
        <v>40</v>
      </c>
      <c r="AF24" s="7">
        <f>Table13[[#This Row],[Completion time]]-Table13[[#This Row],[Start time]]</f>
        <v>3.8194444423425011E-3</v>
      </c>
      <c r="AG24" s="8">
        <f>2026-Table13[[#This Row],[What is your year of birth? ]]</f>
        <v>31</v>
      </c>
      <c r="AH24">
        <f>2026-Table13[[#This Row],[Please indicate the year you graduated from the Faculty of Medicine]]</f>
        <v>9</v>
      </c>
      <c r="AI24">
        <f t="shared" si="1"/>
        <v>1</v>
      </c>
      <c r="AJ24">
        <f t="shared" si="2"/>
        <v>0</v>
      </c>
      <c r="AK24">
        <f t="shared" si="3"/>
        <v>0</v>
      </c>
      <c r="AL24">
        <f t="shared" si="4"/>
        <v>1</v>
      </c>
      <c r="AM24">
        <f t="shared" si="5"/>
        <v>0</v>
      </c>
      <c r="AN24">
        <f t="shared" si="6"/>
        <v>1</v>
      </c>
      <c r="AO24">
        <f t="shared" si="7"/>
        <v>0</v>
      </c>
      <c r="AP24">
        <f t="shared" si="8"/>
        <v>1</v>
      </c>
      <c r="AQ24">
        <f t="shared" si="9"/>
        <v>1</v>
      </c>
      <c r="AR24">
        <f t="shared" si="10"/>
        <v>0</v>
      </c>
      <c r="AS24">
        <f t="shared" si="11"/>
        <v>0</v>
      </c>
      <c r="AT24">
        <f t="shared" si="12"/>
        <v>0</v>
      </c>
      <c r="AU24">
        <f t="shared" si="13"/>
        <v>0</v>
      </c>
      <c r="AV24">
        <f t="shared" si="14"/>
        <v>0</v>
      </c>
      <c r="AW24">
        <f t="shared" si="15"/>
        <v>1</v>
      </c>
      <c r="AX24">
        <f t="shared" si="16"/>
        <v>6</v>
      </c>
      <c r="AY24">
        <f>IF(Table13[[#This Row],[Please choose your sex]]="Male",0,1)</f>
        <v>1</v>
      </c>
      <c r="AZ24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24">
        <f>IF(Table13[[#This Row],[Do you hold a subspecialty qualification (degree / certificate) in Reproductive Endocrinology and Infertility?
]]="No",0,1)</f>
        <v>0</v>
      </c>
      <c r="BB24">
        <f>IF(Table13[[#This Row],[Do you provide clinical care for the management of infertility?]]="No",0,1)</f>
        <v>0</v>
      </c>
      <c r="BC24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24">
        <f>IF(Table13[[#This Row],[Do you have access to evidence-based clinical guidelines at your workplace?]]="No",0,1)</f>
        <v>1</v>
      </c>
      <c r="BE24">
        <f>IF(OR(Table13[[#This Row],[What is your practice setting? (Select all that apply.)]]="University hospital ;",Table13[[#This Row],[What is your practice setting? (Select all that apply.)]]="Public hospital ;"),1,0)</f>
        <v>0</v>
      </c>
      <c r="BF24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25" spans="1:58" ht="16" x14ac:dyDescent="0.2">
      <c r="A25" s="4">
        <v>135</v>
      </c>
      <c r="B25" s="5">
        <v>46199.681840277779</v>
      </c>
      <c r="C25" s="5">
        <v>46199.689976851849</v>
      </c>
      <c r="D25" s="4" t="s">
        <v>29</v>
      </c>
      <c r="E25" s="6">
        <v>1991</v>
      </c>
      <c r="F25" s="4" t="s">
        <v>44</v>
      </c>
      <c r="G25" s="6">
        <v>2013</v>
      </c>
      <c r="H25" s="4" t="s">
        <v>50</v>
      </c>
      <c r="I25" s="4" t="s">
        <v>33</v>
      </c>
      <c r="J25" s="4" t="s">
        <v>32</v>
      </c>
      <c r="K25" s="4" t="s">
        <v>34</v>
      </c>
      <c r="L25" s="4" t="s">
        <v>70</v>
      </c>
      <c r="M25" s="4" t="s">
        <v>37</v>
      </c>
      <c r="N25" s="4" t="s">
        <v>37</v>
      </c>
      <c r="O25" s="4" t="s">
        <v>36</v>
      </c>
      <c r="P25" s="4" t="s">
        <v>37</v>
      </c>
      <c r="Q25" s="4" t="s">
        <v>39</v>
      </c>
      <c r="R25" s="4" t="s">
        <v>37</v>
      </c>
      <c r="S25" s="4" t="s">
        <v>36</v>
      </c>
      <c r="T25" s="4" t="s">
        <v>36</v>
      </c>
      <c r="U25" s="4" t="s">
        <v>37</v>
      </c>
      <c r="V25" s="4" t="s">
        <v>36</v>
      </c>
      <c r="W25" s="4" t="s">
        <v>36</v>
      </c>
      <c r="X25" s="4" t="s">
        <v>36</v>
      </c>
      <c r="Y25" s="4" t="s">
        <v>36</v>
      </c>
      <c r="Z25" s="4" t="s">
        <v>38</v>
      </c>
      <c r="AA25" s="4" t="s">
        <v>38</v>
      </c>
      <c r="AB25" s="4" t="s">
        <v>33</v>
      </c>
      <c r="AC25" s="4" t="s">
        <v>110</v>
      </c>
      <c r="AF25" s="7">
        <f>Table13[[#This Row],[Completion time]]-Table13[[#This Row],[Start time]]</f>
        <v>8.1365740697947331E-3</v>
      </c>
      <c r="AG25" s="8">
        <f>2026-Table13[[#This Row],[What is your year of birth? ]]</f>
        <v>35</v>
      </c>
      <c r="AH25">
        <f>2026-Table13[[#This Row],[Please indicate the year you graduated from the Faculty of Medicine]]</f>
        <v>13</v>
      </c>
      <c r="AI25">
        <f t="shared" si="1"/>
        <v>0</v>
      </c>
      <c r="AJ25">
        <f t="shared" si="2"/>
        <v>0</v>
      </c>
      <c r="AK25">
        <f t="shared" si="3"/>
        <v>0</v>
      </c>
      <c r="AL25">
        <f t="shared" si="4"/>
        <v>0</v>
      </c>
      <c r="AM25">
        <f t="shared" si="5"/>
        <v>1</v>
      </c>
      <c r="AN25">
        <f t="shared" si="6"/>
        <v>0</v>
      </c>
      <c r="AO25">
        <f t="shared" si="7"/>
        <v>0</v>
      </c>
      <c r="AP25">
        <f t="shared" si="8"/>
        <v>0</v>
      </c>
      <c r="AQ25">
        <f t="shared" si="9"/>
        <v>1</v>
      </c>
      <c r="AR25">
        <f t="shared" si="10"/>
        <v>0</v>
      </c>
      <c r="AS25">
        <f t="shared" si="11"/>
        <v>0</v>
      </c>
      <c r="AT25">
        <f t="shared" si="12"/>
        <v>0</v>
      </c>
      <c r="AU25">
        <f t="shared" si="13"/>
        <v>0</v>
      </c>
      <c r="AV25">
        <f t="shared" si="14"/>
        <v>1</v>
      </c>
      <c r="AW25">
        <f t="shared" si="15"/>
        <v>1</v>
      </c>
      <c r="AX25">
        <f t="shared" si="16"/>
        <v>4</v>
      </c>
      <c r="AY25">
        <f>IF(Table13[[#This Row],[Please choose your sex]]="Male",0,1)</f>
        <v>1</v>
      </c>
      <c r="AZ25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25">
        <f>IF(Table13[[#This Row],[Do you hold a subspecialty qualification (degree / certificate) in Reproductive Endocrinology and Infertility?
]]="No",0,1)</f>
        <v>1</v>
      </c>
      <c r="BB25">
        <f>IF(Table13[[#This Row],[Do you provide clinical care for the management of infertility?]]="No",0,1)</f>
        <v>0</v>
      </c>
      <c r="BC25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25">
        <f>IF(Table13[[#This Row],[Do you have access to evidence-based clinical guidelines at your workplace?]]="No",0,1)</f>
        <v>1</v>
      </c>
      <c r="BE25">
        <f>IF(OR(Table13[[#This Row],[What is your practice setting? (Select all that apply.)]]="University hospital ;",Table13[[#This Row],[What is your practice setting? (Select all that apply.)]]="Public hospital ;"),1,0)</f>
        <v>1</v>
      </c>
      <c r="BF25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26" spans="1:58" ht="16" x14ac:dyDescent="0.2">
      <c r="A26" s="4">
        <v>136</v>
      </c>
      <c r="B26" s="5">
        <v>46199.710868055554</v>
      </c>
      <c r="C26" s="5">
        <v>46199.71601851852</v>
      </c>
      <c r="D26" s="4" t="s">
        <v>29</v>
      </c>
      <c r="E26" s="6">
        <v>1991</v>
      </c>
      <c r="F26" s="4" t="s">
        <v>44</v>
      </c>
      <c r="G26" s="6">
        <v>2018</v>
      </c>
      <c r="H26" s="4" t="s">
        <v>41</v>
      </c>
      <c r="I26" s="4" t="s">
        <v>32</v>
      </c>
      <c r="J26" s="4" t="s">
        <v>32</v>
      </c>
      <c r="K26" s="4" t="s">
        <v>34</v>
      </c>
      <c r="L26" s="4" t="s">
        <v>43</v>
      </c>
      <c r="M26" s="4" t="s">
        <v>47</v>
      </c>
      <c r="N26" s="4" t="s">
        <v>37</v>
      </c>
      <c r="O26" s="4" t="s">
        <v>37</v>
      </c>
      <c r="P26" s="4" t="s">
        <v>36</v>
      </c>
      <c r="Q26" s="4" t="s">
        <v>47</v>
      </c>
      <c r="R26" s="4" t="s">
        <v>47</v>
      </c>
      <c r="S26" s="4" t="s">
        <v>37</v>
      </c>
      <c r="T26" s="4" t="s">
        <v>36</v>
      </c>
      <c r="U26" s="4" t="s">
        <v>36</v>
      </c>
      <c r="V26" s="4" t="s">
        <v>36</v>
      </c>
      <c r="W26" s="4" t="s">
        <v>36</v>
      </c>
      <c r="X26" s="4" t="s">
        <v>36</v>
      </c>
      <c r="Y26" s="4" t="s">
        <v>36</v>
      </c>
      <c r="Z26" s="4" t="s">
        <v>37</v>
      </c>
      <c r="AA26" s="4" t="s">
        <v>36</v>
      </c>
      <c r="AB26" s="4" t="s">
        <v>32</v>
      </c>
      <c r="AC26" s="4" t="s">
        <v>80</v>
      </c>
      <c r="AF26" s="7">
        <f>Table13[[#This Row],[Completion time]]-Table13[[#This Row],[Start time]]</f>
        <v>5.1504629664123058E-3</v>
      </c>
      <c r="AG26" s="8">
        <f>2026-Table13[[#This Row],[What is your year of birth? ]]</f>
        <v>35</v>
      </c>
      <c r="AH26">
        <f>2026-Table13[[#This Row],[Please indicate the year you graduated from the Faculty of Medicine]]</f>
        <v>8</v>
      </c>
      <c r="AI26">
        <f t="shared" si="1"/>
        <v>1</v>
      </c>
      <c r="AJ26">
        <f t="shared" si="2"/>
        <v>0</v>
      </c>
      <c r="AK26">
        <f t="shared" si="3"/>
        <v>0</v>
      </c>
      <c r="AL26">
        <f t="shared" si="4"/>
        <v>0</v>
      </c>
      <c r="AM26">
        <f t="shared" si="5"/>
        <v>0</v>
      </c>
      <c r="AN26">
        <f t="shared" si="6"/>
        <v>1</v>
      </c>
      <c r="AO26">
        <f t="shared" si="7"/>
        <v>0</v>
      </c>
      <c r="AP26">
        <f t="shared" si="8"/>
        <v>0</v>
      </c>
      <c r="AQ26">
        <f t="shared" si="9"/>
        <v>0</v>
      </c>
      <c r="AR26">
        <f t="shared" si="10"/>
        <v>0</v>
      </c>
      <c r="AS26">
        <f t="shared" si="11"/>
        <v>0</v>
      </c>
      <c r="AT26">
        <f t="shared" si="12"/>
        <v>0</v>
      </c>
      <c r="AU26">
        <f t="shared" si="13"/>
        <v>0</v>
      </c>
      <c r="AV26">
        <f t="shared" si="14"/>
        <v>0</v>
      </c>
      <c r="AW26">
        <f t="shared" si="15"/>
        <v>0</v>
      </c>
      <c r="AX26">
        <f t="shared" si="16"/>
        <v>2</v>
      </c>
      <c r="AY26">
        <f>IF(Table13[[#This Row],[Please choose your sex]]="Male",0,1)</f>
        <v>1</v>
      </c>
      <c r="AZ26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26">
        <f>IF(Table13[[#This Row],[Do you hold a subspecialty qualification (degree / certificate) in Reproductive Endocrinology and Infertility?
]]="No",0,1)</f>
        <v>0</v>
      </c>
      <c r="BB26">
        <f>IF(Table13[[#This Row],[Do you provide clinical care for the management of infertility?]]="No",0,1)</f>
        <v>0</v>
      </c>
      <c r="BC26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26">
        <f>IF(Table13[[#This Row],[Do you have access to evidence-based clinical guidelines at your workplace?]]="No",0,1)</f>
        <v>0</v>
      </c>
      <c r="BE26">
        <f>IF(OR(Table13[[#This Row],[What is your practice setting? (Select all that apply.)]]="University hospital ;",Table13[[#This Row],[What is your practice setting? (Select all that apply.)]]="Public hospital ;"),1,0)</f>
        <v>1</v>
      </c>
      <c r="BF26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27" spans="1:58" ht="16" x14ac:dyDescent="0.2">
      <c r="A27" s="4">
        <v>142</v>
      </c>
      <c r="B27" s="5">
        <v>46201.998807870368</v>
      </c>
      <c r="C27" s="5">
        <v>46202.002083333333</v>
      </c>
      <c r="D27" s="4" t="s">
        <v>29</v>
      </c>
      <c r="E27" s="6">
        <v>1997</v>
      </c>
      <c r="F27" s="4" t="s">
        <v>44</v>
      </c>
      <c r="G27" s="6">
        <v>2020</v>
      </c>
      <c r="H27" s="4" t="s">
        <v>50</v>
      </c>
      <c r="I27" s="4" t="s">
        <v>32</v>
      </c>
      <c r="J27" s="4" t="s">
        <v>32</v>
      </c>
      <c r="K27" s="4" t="s">
        <v>34</v>
      </c>
      <c r="L27" s="4" t="s">
        <v>43</v>
      </c>
      <c r="M27" s="4" t="s">
        <v>37</v>
      </c>
      <c r="N27" s="4" t="s">
        <v>36</v>
      </c>
      <c r="O27" s="4" t="s">
        <v>37</v>
      </c>
      <c r="P27" s="4" t="s">
        <v>36</v>
      </c>
      <c r="Q27" s="4" t="s">
        <v>37</v>
      </c>
      <c r="R27" s="4" t="s">
        <v>37</v>
      </c>
      <c r="S27" s="4" t="s">
        <v>37</v>
      </c>
      <c r="T27" s="4" t="s">
        <v>37</v>
      </c>
      <c r="U27" s="4" t="s">
        <v>36</v>
      </c>
      <c r="V27" s="4" t="s">
        <v>36</v>
      </c>
      <c r="W27" s="4" t="s">
        <v>36</v>
      </c>
      <c r="X27" s="4" t="s">
        <v>37</v>
      </c>
      <c r="Y27" s="4" t="s">
        <v>38</v>
      </c>
      <c r="Z27" s="4" t="s">
        <v>38</v>
      </c>
      <c r="AA27" s="4" t="s">
        <v>38</v>
      </c>
      <c r="AB27" s="4" t="s">
        <v>32</v>
      </c>
      <c r="AC27" s="4" t="s">
        <v>112</v>
      </c>
      <c r="AF27" s="7">
        <f>Table13[[#This Row],[Completion time]]-Table13[[#This Row],[Start time]]</f>
        <v>3.275462964666076E-3</v>
      </c>
      <c r="AG27" s="8">
        <f>2026-Table13[[#This Row],[What is your year of birth? ]]</f>
        <v>29</v>
      </c>
      <c r="AH27">
        <f>2026-Table13[[#This Row],[Please indicate the year you graduated from the Faculty of Medicine]]</f>
        <v>6</v>
      </c>
      <c r="AI27">
        <f t="shared" si="1"/>
        <v>0</v>
      </c>
      <c r="AJ27">
        <f t="shared" si="2"/>
        <v>0</v>
      </c>
      <c r="AK27">
        <f t="shared" si="3"/>
        <v>0</v>
      </c>
      <c r="AL27">
        <f t="shared" si="4"/>
        <v>0</v>
      </c>
      <c r="AM27">
        <f t="shared" si="5"/>
        <v>1</v>
      </c>
      <c r="AN27">
        <f t="shared" si="6"/>
        <v>0</v>
      </c>
      <c r="AO27">
        <f t="shared" si="7"/>
        <v>0</v>
      </c>
      <c r="AP27">
        <f t="shared" si="8"/>
        <v>0</v>
      </c>
      <c r="AQ27">
        <f t="shared" si="9"/>
        <v>0</v>
      </c>
      <c r="AR27">
        <f t="shared" si="10"/>
        <v>0</v>
      </c>
      <c r="AS27">
        <f t="shared" si="11"/>
        <v>0</v>
      </c>
      <c r="AT27">
        <f t="shared" si="12"/>
        <v>0</v>
      </c>
      <c r="AU27">
        <f t="shared" si="13"/>
        <v>1</v>
      </c>
      <c r="AV27">
        <f t="shared" si="14"/>
        <v>1</v>
      </c>
      <c r="AW27">
        <f t="shared" si="15"/>
        <v>1</v>
      </c>
      <c r="AX27">
        <f t="shared" si="16"/>
        <v>4</v>
      </c>
      <c r="AY27">
        <f>IF(Table13[[#This Row],[Please choose your sex]]="Male",0,1)</f>
        <v>1</v>
      </c>
      <c r="AZ27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27">
        <f>IF(Table13[[#This Row],[Do you hold a subspecialty qualification (degree / certificate) in Reproductive Endocrinology and Infertility?
]]="No",0,1)</f>
        <v>0</v>
      </c>
      <c r="BB27">
        <f>IF(Table13[[#This Row],[Do you provide clinical care for the management of infertility?]]="No",0,1)</f>
        <v>0</v>
      </c>
      <c r="BC27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27">
        <f>IF(Table13[[#This Row],[Do you have access to evidence-based clinical guidelines at your workplace?]]="No",0,1)</f>
        <v>0</v>
      </c>
      <c r="BE27">
        <f>IF(OR(Table13[[#This Row],[What is your practice setting? (Select all that apply.)]]="University hospital ;",Table13[[#This Row],[What is your practice setting? (Select all that apply.)]]="Public hospital ;"),1,0)</f>
        <v>1</v>
      </c>
      <c r="BF27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28" spans="1:58" ht="16" x14ac:dyDescent="0.2">
      <c r="A28" s="4">
        <v>146</v>
      </c>
      <c r="B28" s="5">
        <v>46210.711747685185</v>
      </c>
      <c r="C28" s="5">
        <v>46210.714467592596</v>
      </c>
      <c r="D28" s="4" t="s">
        <v>29</v>
      </c>
      <c r="E28" s="6">
        <v>1979</v>
      </c>
      <c r="F28" s="4" t="s">
        <v>44</v>
      </c>
      <c r="G28" s="6">
        <v>2002</v>
      </c>
      <c r="H28" s="4" t="s">
        <v>50</v>
      </c>
      <c r="I28" s="4" t="s">
        <v>32</v>
      </c>
      <c r="J28" s="4" t="s">
        <v>32</v>
      </c>
      <c r="K28" s="4" t="s">
        <v>34</v>
      </c>
      <c r="L28" s="4" t="s">
        <v>70</v>
      </c>
      <c r="M28" s="4" t="s">
        <v>37</v>
      </c>
      <c r="N28" s="4" t="s">
        <v>37</v>
      </c>
      <c r="O28" s="4" t="s">
        <v>38</v>
      </c>
      <c r="P28" s="4" t="s">
        <v>38</v>
      </c>
      <c r="Q28" s="4" t="s">
        <v>37</v>
      </c>
      <c r="R28" s="4" t="s">
        <v>38</v>
      </c>
      <c r="S28" s="4" t="s">
        <v>37</v>
      </c>
      <c r="T28" s="4" t="s">
        <v>36</v>
      </c>
      <c r="U28" s="4" t="s">
        <v>37</v>
      </c>
      <c r="V28" s="4" t="s">
        <v>38</v>
      </c>
      <c r="W28" s="4" t="s">
        <v>38</v>
      </c>
      <c r="X28" s="4" t="s">
        <v>38</v>
      </c>
      <c r="Y28" s="4" t="s">
        <v>38</v>
      </c>
      <c r="Z28" s="4" t="s">
        <v>37</v>
      </c>
      <c r="AA28" s="4" t="s">
        <v>38</v>
      </c>
      <c r="AB28" s="4" t="s">
        <v>32</v>
      </c>
      <c r="AC28" s="4" t="s">
        <v>40</v>
      </c>
      <c r="AF28" s="7">
        <f>Table13[[#This Row],[Completion time]]-Table13[[#This Row],[Start time]]</f>
        <v>2.7199074102099985E-3</v>
      </c>
      <c r="AG28" s="8">
        <f>2026-Table13[[#This Row],[What is your year of birth? ]]</f>
        <v>47</v>
      </c>
      <c r="AH28">
        <f>2026-Table13[[#This Row],[Please indicate the year you graduated from the Faculty of Medicine]]</f>
        <v>24</v>
      </c>
      <c r="AI28">
        <f t="shared" si="1"/>
        <v>0</v>
      </c>
      <c r="AJ28">
        <f t="shared" si="2"/>
        <v>0</v>
      </c>
      <c r="AK28">
        <f t="shared" si="3"/>
        <v>1</v>
      </c>
      <c r="AL28">
        <f t="shared" si="4"/>
        <v>1</v>
      </c>
      <c r="AM28">
        <f t="shared" si="5"/>
        <v>1</v>
      </c>
      <c r="AN28">
        <f t="shared" si="6"/>
        <v>1</v>
      </c>
      <c r="AO28">
        <f t="shared" si="7"/>
        <v>0</v>
      </c>
      <c r="AP28">
        <f t="shared" si="8"/>
        <v>0</v>
      </c>
      <c r="AQ28">
        <f t="shared" si="9"/>
        <v>1</v>
      </c>
      <c r="AR28">
        <f t="shared" si="10"/>
        <v>1</v>
      </c>
      <c r="AS28">
        <f t="shared" si="11"/>
        <v>1</v>
      </c>
      <c r="AT28">
        <f t="shared" si="12"/>
        <v>1</v>
      </c>
      <c r="AU28">
        <f t="shared" si="13"/>
        <v>1</v>
      </c>
      <c r="AV28">
        <f t="shared" si="14"/>
        <v>0</v>
      </c>
      <c r="AW28">
        <f t="shared" si="15"/>
        <v>1</v>
      </c>
      <c r="AX28">
        <f t="shared" si="16"/>
        <v>10</v>
      </c>
      <c r="AY28">
        <f>IF(Table13[[#This Row],[Please choose your sex]]="Male",0,1)</f>
        <v>1</v>
      </c>
      <c r="AZ28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28">
        <f>IF(Table13[[#This Row],[Do you hold a subspecialty qualification (degree / certificate) in Reproductive Endocrinology and Infertility?
]]="No",0,1)</f>
        <v>0</v>
      </c>
      <c r="BB28">
        <f>IF(Table13[[#This Row],[Do you provide clinical care for the management of infertility?]]="No",0,1)</f>
        <v>0</v>
      </c>
      <c r="BC28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28">
        <f>IF(Table13[[#This Row],[Do you have access to evidence-based clinical guidelines at your workplace?]]="No",0,1)</f>
        <v>0</v>
      </c>
      <c r="BE28">
        <f>IF(OR(Table13[[#This Row],[What is your practice setting? (Select all that apply.)]]="University hospital ;",Table13[[#This Row],[What is your practice setting? (Select all that apply.)]]="Public hospital ;"),1,0)</f>
        <v>1</v>
      </c>
      <c r="BF28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29" spans="1:58" ht="16" x14ac:dyDescent="0.2">
      <c r="A29" s="4">
        <v>154</v>
      </c>
      <c r="B29" s="5">
        <v>46218.912962962961</v>
      </c>
      <c r="C29" s="5">
        <v>46218.914872685185</v>
      </c>
      <c r="D29" s="4" t="s">
        <v>29</v>
      </c>
      <c r="E29" s="6">
        <v>1990</v>
      </c>
      <c r="F29" s="4" t="s">
        <v>30</v>
      </c>
      <c r="G29" s="6">
        <v>2014</v>
      </c>
      <c r="H29" s="4" t="s">
        <v>114</v>
      </c>
      <c r="I29" s="4" t="s">
        <v>32</v>
      </c>
      <c r="J29" s="4" t="s">
        <v>32</v>
      </c>
      <c r="K29" s="4" t="s">
        <v>34</v>
      </c>
      <c r="L29" s="4" t="s">
        <v>51</v>
      </c>
      <c r="M29" s="4" t="s">
        <v>47</v>
      </c>
      <c r="N29" s="4" t="s">
        <v>38</v>
      </c>
      <c r="O29" s="4" t="s">
        <v>47</v>
      </c>
      <c r="P29" s="4" t="s">
        <v>38</v>
      </c>
      <c r="Q29" s="4" t="s">
        <v>39</v>
      </c>
      <c r="R29" s="4" t="s">
        <v>38</v>
      </c>
      <c r="S29" s="4" t="s">
        <v>38</v>
      </c>
      <c r="T29" s="4" t="s">
        <v>38</v>
      </c>
      <c r="U29" s="4" t="s">
        <v>39</v>
      </c>
      <c r="V29" s="4" t="s">
        <v>47</v>
      </c>
      <c r="W29" s="4" t="s">
        <v>47</v>
      </c>
      <c r="X29" s="4" t="s">
        <v>47</v>
      </c>
      <c r="Y29" s="4" t="s">
        <v>47</v>
      </c>
      <c r="Z29" s="4" t="s">
        <v>38</v>
      </c>
      <c r="AA29" s="4" t="s">
        <v>47</v>
      </c>
      <c r="AB29" s="4" t="s">
        <v>32</v>
      </c>
      <c r="AC29" s="4" t="s">
        <v>80</v>
      </c>
      <c r="AF29" s="7">
        <f>Table13[[#This Row],[Completion time]]-Table13[[#This Row],[Start time]]</f>
        <v>1.9097222248092294E-3</v>
      </c>
      <c r="AG29" s="8">
        <f>2026-Table13[[#This Row],[What is your year of birth? ]]</f>
        <v>36</v>
      </c>
      <c r="AH29">
        <f>2026-Table13[[#This Row],[Please indicate the year you graduated from the Faculty of Medicine]]</f>
        <v>12</v>
      </c>
      <c r="AI29">
        <f t="shared" si="1"/>
        <v>1</v>
      </c>
      <c r="AJ29">
        <f t="shared" si="2"/>
        <v>1</v>
      </c>
      <c r="AK29">
        <f t="shared" si="3"/>
        <v>1</v>
      </c>
      <c r="AL29">
        <f t="shared" si="4"/>
        <v>1</v>
      </c>
      <c r="AM29">
        <f t="shared" si="5"/>
        <v>1</v>
      </c>
      <c r="AN29">
        <f t="shared" si="6"/>
        <v>1</v>
      </c>
      <c r="AO29">
        <f t="shared" si="7"/>
        <v>1</v>
      </c>
      <c r="AP29">
        <f t="shared" si="8"/>
        <v>1</v>
      </c>
      <c r="AQ29">
        <f t="shared" si="9"/>
        <v>1</v>
      </c>
      <c r="AR29">
        <f t="shared" si="10"/>
        <v>1</v>
      </c>
      <c r="AS29">
        <f t="shared" si="11"/>
        <v>1</v>
      </c>
      <c r="AT29">
        <f t="shared" si="12"/>
        <v>1</v>
      </c>
      <c r="AU29">
        <f t="shared" si="13"/>
        <v>1</v>
      </c>
      <c r="AV29">
        <f t="shared" si="14"/>
        <v>1</v>
      </c>
      <c r="AW29">
        <f t="shared" si="15"/>
        <v>1</v>
      </c>
      <c r="AX29">
        <f t="shared" si="16"/>
        <v>15</v>
      </c>
      <c r="AY29">
        <f>IF(Table13[[#This Row],[Please choose your sex]]="Male",0,1)</f>
        <v>0</v>
      </c>
      <c r="AZ29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29">
        <f>IF(Table13[[#This Row],[Do you hold a subspecialty qualification (degree / certificate) in Reproductive Endocrinology and Infertility?
]]="No",0,1)</f>
        <v>0</v>
      </c>
      <c r="BB29">
        <f>IF(Table13[[#This Row],[Do you provide clinical care for the management of infertility?]]="No",0,1)</f>
        <v>0</v>
      </c>
      <c r="BC29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29">
        <f>IF(Table13[[#This Row],[Do you have access to evidence-based clinical guidelines at your workplace?]]="No",0,1)</f>
        <v>0</v>
      </c>
      <c r="BE29">
        <f>IF(OR(Table13[[#This Row],[What is your practice setting? (Select all that apply.)]]="University hospital ;",Table13[[#This Row],[What is your practice setting? (Select all that apply.)]]="Public hospital ;"),1,0)</f>
        <v>0</v>
      </c>
      <c r="BF29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30" spans="1:58" ht="16" x14ac:dyDescent="0.2">
      <c r="A30" s="4">
        <v>1</v>
      </c>
      <c r="B30" s="5">
        <v>46109.581261574072</v>
      </c>
      <c r="C30" s="5">
        <v>46109.584317129629</v>
      </c>
      <c r="D30" s="4" t="s">
        <v>29</v>
      </c>
      <c r="E30" s="6">
        <v>1994</v>
      </c>
      <c r="F30" s="4" t="s">
        <v>30</v>
      </c>
      <c r="G30" s="6">
        <v>2010</v>
      </c>
      <c r="H30" s="4" t="s">
        <v>31</v>
      </c>
      <c r="I30" s="4" t="s">
        <v>32</v>
      </c>
      <c r="J30" s="4" t="s">
        <v>33</v>
      </c>
      <c r="K30" s="4" t="s">
        <v>34</v>
      </c>
      <c r="L30" s="4" t="s">
        <v>35</v>
      </c>
      <c r="M30" s="4" t="s">
        <v>36</v>
      </c>
      <c r="N30" s="4" t="s">
        <v>36</v>
      </c>
      <c r="O30" s="4" t="s">
        <v>36</v>
      </c>
      <c r="P30" s="4" t="s">
        <v>37</v>
      </c>
      <c r="Q30" s="4" t="s">
        <v>37</v>
      </c>
      <c r="R30" s="4" t="s">
        <v>38</v>
      </c>
      <c r="S30" s="4" t="s">
        <v>38</v>
      </c>
      <c r="T30" s="4" t="s">
        <v>36</v>
      </c>
      <c r="U30" s="4" t="s">
        <v>39</v>
      </c>
      <c r="V30" s="4" t="s">
        <v>38</v>
      </c>
      <c r="W30" s="4" t="s">
        <v>38</v>
      </c>
      <c r="X30" s="4" t="s">
        <v>36</v>
      </c>
      <c r="Y30" s="4" t="s">
        <v>36</v>
      </c>
      <c r="Z30" s="4" t="s">
        <v>37</v>
      </c>
      <c r="AA30" s="4" t="s">
        <v>38</v>
      </c>
      <c r="AB30" s="4" t="s">
        <v>33</v>
      </c>
      <c r="AC30" s="4" t="s">
        <v>40</v>
      </c>
      <c r="AF30" s="7">
        <f>Table13[[#This Row],[Completion time]]-Table13[[#This Row],[Start time]]</f>
        <v>3.055555556784384E-3</v>
      </c>
      <c r="AG30" s="8">
        <f>2026-Table13[[#This Row],[What is your year of birth? ]]</f>
        <v>32</v>
      </c>
      <c r="AH30">
        <f>2026-Table13[[#This Row],[Please indicate the year you graduated from the Faculty of Medicine]]</f>
        <v>16</v>
      </c>
      <c r="AI30">
        <f t="shared" si="1"/>
        <v>0</v>
      </c>
      <c r="AJ30">
        <f t="shared" si="2"/>
        <v>0</v>
      </c>
      <c r="AK30">
        <f t="shared" si="3"/>
        <v>0</v>
      </c>
      <c r="AL30">
        <f t="shared" si="4"/>
        <v>0</v>
      </c>
      <c r="AM30">
        <f t="shared" si="5"/>
        <v>1</v>
      </c>
      <c r="AN30">
        <f t="shared" si="6"/>
        <v>1</v>
      </c>
      <c r="AO30">
        <f t="shared" si="7"/>
        <v>1</v>
      </c>
      <c r="AP30">
        <f t="shared" si="8"/>
        <v>0</v>
      </c>
      <c r="AQ30">
        <f t="shared" si="9"/>
        <v>1</v>
      </c>
      <c r="AR30">
        <f t="shared" si="10"/>
        <v>1</v>
      </c>
      <c r="AS30">
        <f t="shared" si="11"/>
        <v>1</v>
      </c>
      <c r="AT30">
        <f t="shared" si="12"/>
        <v>0</v>
      </c>
      <c r="AU30">
        <f t="shared" si="13"/>
        <v>0</v>
      </c>
      <c r="AV30">
        <f t="shared" si="14"/>
        <v>0</v>
      </c>
      <c r="AW30">
        <f t="shared" si="15"/>
        <v>1</v>
      </c>
      <c r="AX30">
        <f t="shared" si="16"/>
        <v>7</v>
      </c>
      <c r="AY30">
        <f>IF(Table13[[#This Row],[Please choose your sex]]="Male",0,1)</f>
        <v>0</v>
      </c>
      <c r="AZ30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30">
        <f>IF(Table13[[#This Row],[Do you hold a subspecialty qualification (degree / certificate) in Reproductive Endocrinology and Infertility?
]]="No",0,1)</f>
        <v>0</v>
      </c>
      <c r="BB30">
        <f>IF(Table13[[#This Row],[Do you provide clinical care for the management of infertility?]]="No",0,1)</f>
        <v>1</v>
      </c>
      <c r="BC30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30">
        <f>IF(Table13[[#This Row],[Do you have access to evidence-based clinical guidelines at your workplace?]]="No",0,1)</f>
        <v>1</v>
      </c>
      <c r="BE30">
        <f>IF(OR(Table13[[#This Row],[What is your practice setting? (Select all that apply.)]]="University hospital ;",Table13[[#This Row],[What is your practice setting? (Select all that apply.)]]="Public hospital ;"),1,0)</f>
        <v>0</v>
      </c>
      <c r="BF30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31" spans="1:58" ht="16" x14ac:dyDescent="0.2">
      <c r="A31" s="4">
        <v>2</v>
      </c>
      <c r="B31" s="5">
        <v>46109.617025462961</v>
      </c>
      <c r="C31" s="5">
        <v>46109.620763888888</v>
      </c>
      <c r="D31" s="4" t="s">
        <v>29</v>
      </c>
      <c r="E31" s="6">
        <v>1985</v>
      </c>
      <c r="F31" s="4" t="s">
        <v>30</v>
      </c>
      <c r="G31" s="6">
        <v>2008</v>
      </c>
      <c r="H31" s="4" t="s">
        <v>41</v>
      </c>
      <c r="I31" s="4" t="s">
        <v>32</v>
      </c>
      <c r="J31" s="4" t="s">
        <v>33</v>
      </c>
      <c r="K31" s="4" t="s">
        <v>42</v>
      </c>
      <c r="L31" s="4" t="s">
        <v>43</v>
      </c>
      <c r="M31" s="4" t="s">
        <v>38</v>
      </c>
      <c r="N31" s="4" t="s">
        <v>38</v>
      </c>
      <c r="O31" s="4" t="s">
        <v>38</v>
      </c>
      <c r="P31" s="4" t="s">
        <v>37</v>
      </c>
      <c r="Q31" s="4" t="s">
        <v>39</v>
      </c>
      <c r="R31" s="4" t="s">
        <v>38</v>
      </c>
      <c r="S31" s="4" t="s">
        <v>38</v>
      </c>
      <c r="T31" s="4" t="s">
        <v>39</v>
      </c>
      <c r="U31" s="4" t="s">
        <v>37</v>
      </c>
      <c r="V31" s="4" t="s">
        <v>38</v>
      </c>
      <c r="W31" s="4" t="s">
        <v>38</v>
      </c>
      <c r="X31" s="4" t="s">
        <v>36</v>
      </c>
      <c r="Y31" s="4" t="s">
        <v>39</v>
      </c>
      <c r="Z31" s="4" t="s">
        <v>37</v>
      </c>
      <c r="AA31" s="4" t="s">
        <v>38</v>
      </c>
      <c r="AB31" s="4" t="s">
        <v>33</v>
      </c>
      <c r="AC31" s="4" t="s">
        <v>40</v>
      </c>
      <c r="AF31" s="7">
        <f>Table13[[#This Row],[Completion time]]-Table13[[#This Row],[Start time]]</f>
        <v>3.7384259267128073E-3</v>
      </c>
      <c r="AG31" s="8">
        <f>2026-Table13[[#This Row],[What is your year of birth? ]]</f>
        <v>41</v>
      </c>
      <c r="AH31">
        <f>2026-Table13[[#This Row],[Please indicate the year you graduated from the Faculty of Medicine]]</f>
        <v>18</v>
      </c>
      <c r="AI31">
        <f t="shared" si="1"/>
        <v>1</v>
      </c>
      <c r="AJ31">
        <f t="shared" si="2"/>
        <v>1</v>
      </c>
      <c r="AK31">
        <f t="shared" si="3"/>
        <v>1</v>
      </c>
      <c r="AL31">
        <f t="shared" si="4"/>
        <v>0</v>
      </c>
      <c r="AM31">
        <f t="shared" si="5"/>
        <v>1</v>
      </c>
      <c r="AN31">
        <f t="shared" si="6"/>
        <v>1</v>
      </c>
      <c r="AO31">
        <f t="shared" si="7"/>
        <v>1</v>
      </c>
      <c r="AP31">
        <f t="shared" si="8"/>
        <v>0</v>
      </c>
      <c r="AQ31">
        <f t="shared" si="9"/>
        <v>1</v>
      </c>
      <c r="AR31">
        <f t="shared" si="10"/>
        <v>1</v>
      </c>
      <c r="AS31">
        <f t="shared" si="11"/>
        <v>1</v>
      </c>
      <c r="AT31">
        <f t="shared" si="12"/>
        <v>0</v>
      </c>
      <c r="AU31">
        <f t="shared" si="13"/>
        <v>0</v>
      </c>
      <c r="AV31">
        <f t="shared" si="14"/>
        <v>0</v>
      </c>
      <c r="AW31">
        <f t="shared" si="15"/>
        <v>1</v>
      </c>
      <c r="AX31">
        <f t="shared" si="16"/>
        <v>10</v>
      </c>
      <c r="AY31">
        <f>IF(Table13[[#This Row],[Please choose your sex]]="Male",0,1)</f>
        <v>0</v>
      </c>
      <c r="AZ31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31">
        <f>IF(Table13[[#This Row],[Do you hold a subspecialty qualification (degree / certificate) in Reproductive Endocrinology and Infertility?
]]="No",0,1)</f>
        <v>0</v>
      </c>
      <c r="BB31">
        <f>IF(Table13[[#This Row],[Do you provide clinical care for the management of infertility?]]="No",0,1)</f>
        <v>1</v>
      </c>
      <c r="BC31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31">
        <f>IF(Table13[[#This Row],[Do you have access to evidence-based clinical guidelines at your workplace?]]="No",0,1)</f>
        <v>1</v>
      </c>
      <c r="BE31">
        <f>IF(OR(Table13[[#This Row],[What is your practice setting? (Select all that apply.)]]="University hospital ;",Table13[[#This Row],[What is your practice setting? (Select all that apply.)]]="Public hospital ;"),1,0)</f>
        <v>1</v>
      </c>
      <c r="BF31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32" spans="1:58" ht="16" x14ac:dyDescent="0.2">
      <c r="A32" s="4">
        <v>3</v>
      </c>
      <c r="B32" s="5">
        <v>46109.754780092589</v>
      </c>
      <c r="C32" s="5">
        <v>46109.756782407407</v>
      </c>
      <c r="D32" s="4" t="s">
        <v>29</v>
      </c>
      <c r="E32" s="6">
        <v>1992</v>
      </c>
      <c r="F32" s="4" t="s">
        <v>44</v>
      </c>
      <c r="G32" s="6">
        <v>2015</v>
      </c>
      <c r="H32" s="4" t="s">
        <v>45</v>
      </c>
      <c r="I32" s="4" t="s">
        <v>32</v>
      </c>
      <c r="J32" s="4" t="s">
        <v>33</v>
      </c>
      <c r="K32" s="4" t="s">
        <v>34</v>
      </c>
      <c r="L32" s="4" t="s">
        <v>46</v>
      </c>
      <c r="M32" s="4" t="s">
        <v>47</v>
      </c>
      <c r="N32" s="4" t="s">
        <v>47</v>
      </c>
      <c r="O32" s="4" t="s">
        <v>38</v>
      </c>
      <c r="P32" s="4" t="s">
        <v>37</v>
      </c>
      <c r="Q32" s="4" t="s">
        <v>39</v>
      </c>
      <c r="R32" s="4" t="s">
        <v>38</v>
      </c>
      <c r="S32" s="4" t="s">
        <v>47</v>
      </c>
      <c r="T32" s="4" t="s">
        <v>38</v>
      </c>
      <c r="U32" s="4" t="s">
        <v>39</v>
      </c>
      <c r="V32" s="4" t="s">
        <v>47</v>
      </c>
      <c r="W32" s="4" t="s">
        <v>47</v>
      </c>
      <c r="X32" s="4" t="s">
        <v>36</v>
      </c>
      <c r="Y32" s="4" t="s">
        <v>38</v>
      </c>
      <c r="Z32" s="4" t="s">
        <v>37</v>
      </c>
      <c r="AA32" s="4" t="s">
        <v>47</v>
      </c>
      <c r="AB32" s="4" t="s">
        <v>32</v>
      </c>
      <c r="AC32" s="4" t="s">
        <v>48</v>
      </c>
      <c r="AF32" s="7">
        <f>Table13[[#This Row],[Completion time]]-Table13[[#This Row],[Start time]]</f>
        <v>2.0023148172185756E-3</v>
      </c>
      <c r="AG32" s="8">
        <f>2026-Table13[[#This Row],[What is your year of birth? ]]</f>
        <v>34</v>
      </c>
      <c r="AH32">
        <f>2026-Table13[[#This Row],[Please indicate the year you graduated from the Faculty of Medicine]]</f>
        <v>11</v>
      </c>
      <c r="AI32">
        <f t="shared" si="1"/>
        <v>1</v>
      </c>
      <c r="AJ32">
        <f t="shared" si="2"/>
        <v>1</v>
      </c>
      <c r="AK32">
        <f t="shared" si="3"/>
        <v>1</v>
      </c>
      <c r="AL32">
        <f t="shared" si="4"/>
        <v>0</v>
      </c>
      <c r="AM32">
        <f t="shared" si="5"/>
        <v>1</v>
      </c>
      <c r="AN32">
        <f t="shared" si="6"/>
        <v>1</v>
      </c>
      <c r="AO32">
        <f t="shared" si="7"/>
        <v>1</v>
      </c>
      <c r="AP32">
        <f t="shared" si="8"/>
        <v>1</v>
      </c>
      <c r="AQ32">
        <f t="shared" si="9"/>
        <v>1</v>
      </c>
      <c r="AR32">
        <f t="shared" si="10"/>
        <v>1</v>
      </c>
      <c r="AS32">
        <f t="shared" si="11"/>
        <v>1</v>
      </c>
      <c r="AT32">
        <f t="shared" si="12"/>
        <v>0</v>
      </c>
      <c r="AU32">
        <f t="shared" si="13"/>
        <v>1</v>
      </c>
      <c r="AV32">
        <f t="shared" si="14"/>
        <v>0</v>
      </c>
      <c r="AW32">
        <f t="shared" si="15"/>
        <v>1</v>
      </c>
      <c r="AX32">
        <f t="shared" si="16"/>
        <v>12</v>
      </c>
      <c r="AY32">
        <f>IF(Table13[[#This Row],[Please choose your sex]]="Male",0,1)</f>
        <v>1</v>
      </c>
      <c r="AZ32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32">
        <f>IF(Table13[[#This Row],[Do you hold a subspecialty qualification (degree / certificate) in Reproductive Endocrinology and Infertility?
]]="No",0,1)</f>
        <v>0</v>
      </c>
      <c r="BB32">
        <f>IF(Table13[[#This Row],[Do you provide clinical care for the management of infertility?]]="No",0,1)</f>
        <v>1</v>
      </c>
      <c r="BC32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32">
        <f>IF(Table13[[#This Row],[Do you have access to evidence-based clinical guidelines at your workplace?]]="No",0,1)</f>
        <v>0</v>
      </c>
      <c r="BE32">
        <f>IF(OR(Table13[[#This Row],[What is your practice setting? (Select all that apply.)]]="University hospital ;",Table13[[#This Row],[What is your practice setting? (Select all that apply.)]]="Public hospital ;"),1,0)</f>
        <v>0</v>
      </c>
      <c r="BF32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33" spans="1:58" ht="16" x14ac:dyDescent="0.2">
      <c r="A33" s="4">
        <v>4</v>
      </c>
      <c r="B33" s="5">
        <v>46109.773541666669</v>
      </c>
      <c r="C33" s="5">
        <v>46109.777280092596</v>
      </c>
      <c r="D33" s="4" t="s">
        <v>29</v>
      </c>
      <c r="E33" s="6">
        <v>1989</v>
      </c>
      <c r="F33" s="4" t="s">
        <v>30</v>
      </c>
      <c r="G33" s="6">
        <v>2012</v>
      </c>
      <c r="H33" s="4" t="s">
        <v>45</v>
      </c>
      <c r="I33" s="4" t="s">
        <v>33</v>
      </c>
      <c r="J33" s="4" t="s">
        <v>33</v>
      </c>
      <c r="K33" s="4" t="s">
        <v>66</v>
      </c>
      <c r="L33" s="4" t="s">
        <v>43</v>
      </c>
      <c r="M33" s="4" t="s">
        <v>47</v>
      </c>
      <c r="N33" s="4" t="s">
        <v>36</v>
      </c>
      <c r="O33" s="4" t="s">
        <v>36</v>
      </c>
      <c r="P33" s="4" t="s">
        <v>37</v>
      </c>
      <c r="Q33" s="4" t="s">
        <v>39</v>
      </c>
      <c r="R33" s="4" t="s">
        <v>47</v>
      </c>
      <c r="S33" s="4" t="s">
        <v>47</v>
      </c>
      <c r="T33" s="4" t="s">
        <v>47</v>
      </c>
      <c r="U33" s="4" t="s">
        <v>39</v>
      </c>
      <c r="V33" s="4" t="s">
        <v>47</v>
      </c>
      <c r="W33" s="4" t="s">
        <v>38</v>
      </c>
      <c r="X33" s="4" t="s">
        <v>47</v>
      </c>
      <c r="Y33" s="4" t="s">
        <v>47</v>
      </c>
      <c r="Z33" s="4" t="s">
        <v>39</v>
      </c>
      <c r="AA33" s="4" t="s">
        <v>47</v>
      </c>
      <c r="AB33" s="4" t="s">
        <v>33</v>
      </c>
      <c r="AC33" s="4" t="s">
        <v>40</v>
      </c>
      <c r="AF33" s="7">
        <f>Table13[[#This Row],[Completion time]]-Table13[[#This Row],[Start time]]</f>
        <v>3.7384259267128073E-3</v>
      </c>
      <c r="AG33" s="8">
        <f>2026-Table13[[#This Row],[What is your year of birth? ]]</f>
        <v>37</v>
      </c>
      <c r="AH33">
        <f>2026-Table13[[#This Row],[Please indicate the year you graduated from the Faculty of Medicine]]</f>
        <v>14</v>
      </c>
      <c r="AI33">
        <f t="shared" si="1"/>
        <v>1</v>
      </c>
      <c r="AJ33">
        <f t="shared" si="2"/>
        <v>0</v>
      </c>
      <c r="AK33">
        <f t="shared" si="3"/>
        <v>0</v>
      </c>
      <c r="AL33">
        <f t="shared" si="4"/>
        <v>0</v>
      </c>
      <c r="AM33">
        <f t="shared" si="5"/>
        <v>1</v>
      </c>
      <c r="AN33">
        <f t="shared" si="6"/>
        <v>1</v>
      </c>
      <c r="AO33">
        <f t="shared" si="7"/>
        <v>1</v>
      </c>
      <c r="AP33">
        <f t="shared" si="8"/>
        <v>1</v>
      </c>
      <c r="AQ33">
        <f t="shared" si="9"/>
        <v>1</v>
      </c>
      <c r="AR33">
        <f t="shared" si="10"/>
        <v>1</v>
      </c>
      <c r="AS33">
        <f t="shared" si="11"/>
        <v>1</v>
      </c>
      <c r="AT33">
        <f t="shared" si="12"/>
        <v>1</v>
      </c>
      <c r="AU33">
        <f t="shared" si="13"/>
        <v>1</v>
      </c>
      <c r="AV33">
        <f t="shared" si="14"/>
        <v>0</v>
      </c>
      <c r="AW33">
        <f t="shared" si="15"/>
        <v>1</v>
      </c>
      <c r="AX33">
        <f t="shared" si="16"/>
        <v>11</v>
      </c>
      <c r="AY33">
        <f>IF(Table13[[#This Row],[Please choose your sex]]="Male",0,1)</f>
        <v>0</v>
      </c>
      <c r="AZ33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33">
        <f>IF(Table13[[#This Row],[Do you hold a subspecialty qualification (degree / certificate) in Reproductive Endocrinology and Infertility?
]]="No",0,1)</f>
        <v>1</v>
      </c>
      <c r="BB33">
        <f>IF(Table13[[#This Row],[Do you provide clinical care for the management of infertility?]]="No",0,1)</f>
        <v>1</v>
      </c>
      <c r="BC33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33">
        <f>IF(Table13[[#This Row],[Do you have access to evidence-based clinical guidelines at your workplace?]]="No",0,1)</f>
        <v>1</v>
      </c>
      <c r="BE33">
        <f>IF(OR(Table13[[#This Row],[What is your practice setting? (Select all that apply.)]]="University hospital ;",Table13[[#This Row],[What is your practice setting? (Select all that apply.)]]="Public hospital ;"),1,0)</f>
        <v>1</v>
      </c>
      <c r="BF33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34" spans="1:58" ht="16" x14ac:dyDescent="0.2">
      <c r="A34" s="4">
        <v>7</v>
      </c>
      <c r="B34" s="5">
        <v>46109.976967592593</v>
      </c>
      <c r="C34" s="5">
        <v>46109.98232638889</v>
      </c>
      <c r="D34" s="4" t="s">
        <v>29</v>
      </c>
      <c r="E34" s="6">
        <v>1996</v>
      </c>
      <c r="F34" s="4" t="s">
        <v>44</v>
      </c>
      <c r="G34" s="6">
        <v>2020</v>
      </c>
      <c r="H34" s="4" t="s">
        <v>53</v>
      </c>
      <c r="I34" s="4" t="s">
        <v>32</v>
      </c>
      <c r="J34" s="4" t="s">
        <v>33</v>
      </c>
      <c r="K34" s="4" t="s">
        <v>34</v>
      </c>
      <c r="L34" s="4" t="s">
        <v>43</v>
      </c>
      <c r="M34" s="4" t="s">
        <v>37</v>
      </c>
      <c r="N34" s="4" t="s">
        <v>38</v>
      </c>
      <c r="O34" s="4" t="s">
        <v>38</v>
      </c>
      <c r="P34" s="4" t="s">
        <v>38</v>
      </c>
      <c r="Q34" s="4" t="s">
        <v>39</v>
      </c>
      <c r="R34" s="4" t="s">
        <v>37</v>
      </c>
      <c r="S34" s="4" t="s">
        <v>38</v>
      </c>
      <c r="T34" s="4" t="s">
        <v>38</v>
      </c>
      <c r="U34" s="4" t="s">
        <v>39</v>
      </c>
      <c r="V34" s="4" t="s">
        <v>36</v>
      </c>
      <c r="W34" s="4" t="s">
        <v>36</v>
      </c>
      <c r="X34" s="4" t="s">
        <v>37</v>
      </c>
      <c r="Y34" s="4" t="s">
        <v>37</v>
      </c>
      <c r="Z34" s="4" t="s">
        <v>37</v>
      </c>
      <c r="AA34" s="4" t="s">
        <v>38</v>
      </c>
      <c r="AB34" s="4" t="s">
        <v>32</v>
      </c>
      <c r="AC34" s="4" t="s">
        <v>54</v>
      </c>
      <c r="AF34" s="7">
        <f>Table13[[#This Row],[Completion time]]-Table13[[#This Row],[Start time]]</f>
        <v>5.3587962975143455E-3</v>
      </c>
      <c r="AG34" s="8">
        <f>2026-Table13[[#This Row],[What is your year of birth? ]]</f>
        <v>30</v>
      </c>
      <c r="AH34">
        <f>2026-Table13[[#This Row],[Please indicate the year you graduated from the Faculty of Medicine]]</f>
        <v>6</v>
      </c>
      <c r="AI34">
        <f t="shared" si="1"/>
        <v>0</v>
      </c>
      <c r="AJ34">
        <f t="shared" si="2"/>
        <v>1</v>
      </c>
      <c r="AK34">
        <f t="shared" si="3"/>
        <v>1</v>
      </c>
      <c r="AL34">
        <f t="shared" si="4"/>
        <v>1</v>
      </c>
      <c r="AM34">
        <f t="shared" si="5"/>
        <v>1</v>
      </c>
      <c r="AN34">
        <f t="shared" si="6"/>
        <v>0</v>
      </c>
      <c r="AO34">
        <f t="shared" si="7"/>
        <v>1</v>
      </c>
      <c r="AP34">
        <f t="shared" si="8"/>
        <v>1</v>
      </c>
      <c r="AQ34">
        <f t="shared" si="9"/>
        <v>1</v>
      </c>
      <c r="AR34">
        <f t="shared" si="10"/>
        <v>0</v>
      </c>
      <c r="AS34">
        <f t="shared" si="11"/>
        <v>0</v>
      </c>
      <c r="AT34">
        <f t="shared" si="12"/>
        <v>0</v>
      </c>
      <c r="AU34">
        <f t="shared" si="13"/>
        <v>0</v>
      </c>
      <c r="AV34">
        <f t="shared" si="14"/>
        <v>0</v>
      </c>
      <c r="AW34">
        <f t="shared" si="15"/>
        <v>1</v>
      </c>
      <c r="AX34">
        <f t="shared" si="16"/>
        <v>8</v>
      </c>
      <c r="AY34">
        <f>IF(Table13[[#This Row],[Please choose your sex]]="Male",0,1)</f>
        <v>1</v>
      </c>
      <c r="AZ34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34">
        <f>IF(Table13[[#This Row],[Do you hold a subspecialty qualification (degree / certificate) in Reproductive Endocrinology and Infertility?
]]="No",0,1)</f>
        <v>0</v>
      </c>
      <c r="BB34">
        <f>IF(Table13[[#This Row],[Do you provide clinical care for the management of infertility?]]="No",0,1)</f>
        <v>1</v>
      </c>
      <c r="BC34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34">
        <f>IF(Table13[[#This Row],[Do you have access to evidence-based clinical guidelines at your workplace?]]="No",0,1)</f>
        <v>0</v>
      </c>
      <c r="BE34">
        <f>IF(OR(Table13[[#This Row],[What is your practice setting? (Select all that apply.)]]="University hospital ;",Table13[[#This Row],[What is your practice setting? (Select all that apply.)]]="Public hospital ;"),1,0)</f>
        <v>1</v>
      </c>
      <c r="BF34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35" spans="1:58" ht="16" x14ac:dyDescent="0.2">
      <c r="A35" s="4">
        <v>8</v>
      </c>
      <c r="B35" s="5">
        <v>46110.417442129627</v>
      </c>
      <c r="C35" s="5">
        <v>46110.42087962963</v>
      </c>
      <c r="D35" s="4" t="s">
        <v>29</v>
      </c>
      <c r="E35" s="6">
        <v>1996</v>
      </c>
      <c r="F35" s="4" t="s">
        <v>30</v>
      </c>
      <c r="G35" s="6">
        <v>2020</v>
      </c>
      <c r="H35" s="4" t="s">
        <v>50</v>
      </c>
      <c r="I35" s="4" t="s">
        <v>33</v>
      </c>
      <c r="J35" s="4" t="s">
        <v>33</v>
      </c>
      <c r="K35" s="4" t="s">
        <v>34</v>
      </c>
      <c r="L35" s="4" t="s">
        <v>43</v>
      </c>
      <c r="M35" s="4" t="s">
        <v>38</v>
      </c>
      <c r="N35" s="4" t="s">
        <v>36</v>
      </c>
      <c r="O35" s="4" t="s">
        <v>36</v>
      </c>
      <c r="P35" s="4" t="s">
        <v>47</v>
      </c>
      <c r="Q35" s="4" t="s">
        <v>47</v>
      </c>
      <c r="R35" s="4" t="s">
        <v>38</v>
      </c>
      <c r="S35" s="4" t="s">
        <v>47</v>
      </c>
      <c r="T35" s="4" t="s">
        <v>47</v>
      </c>
      <c r="U35" s="4" t="s">
        <v>37</v>
      </c>
      <c r="V35" s="4" t="s">
        <v>38</v>
      </c>
      <c r="W35" s="4" t="s">
        <v>38</v>
      </c>
      <c r="X35" s="4" t="s">
        <v>37</v>
      </c>
      <c r="Y35" s="4" t="s">
        <v>37</v>
      </c>
      <c r="Z35" s="4" t="s">
        <v>37</v>
      </c>
      <c r="AA35" s="4" t="s">
        <v>38</v>
      </c>
      <c r="AB35" s="4" t="s">
        <v>33</v>
      </c>
      <c r="AC35" s="4" t="s">
        <v>55</v>
      </c>
      <c r="AF35" s="7">
        <f>Table13[[#This Row],[Completion time]]-Table13[[#This Row],[Start time]]</f>
        <v>3.4375000032014214E-3</v>
      </c>
      <c r="AG35" s="8">
        <f>2026-Table13[[#This Row],[What is your year of birth? ]]</f>
        <v>30</v>
      </c>
      <c r="AH35">
        <f>2026-Table13[[#This Row],[Please indicate the year you graduated from the Faculty of Medicine]]</f>
        <v>6</v>
      </c>
      <c r="AI35">
        <f t="shared" si="1"/>
        <v>1</v>
      </c>
      <c r="AJ35">
        <f t="shared" si="2"/>
        <v>0</v>
      </c>
      <c r="AK35">
        <f t="shared" si="3"/>
        <v>0</v>
      </c>
      <c r="AL35">
        <f t="shared" si="4"/>
        <v>1</v>
      </c>
      <c r="AM35">
        <f t="shared" si="5"/>
        <v>0</v>
      </c>
      <c r="AN35">
        <f t="shared" si="6"/>
        <v>1</v>
      </c>
      <c r="AO35">
        <f t="shared" si="7"/>
        <v>1</v>
      </c>
      <c r="AP35">
        <f t="shared" si="8"/>
        <v>1</v>
      </c>
      <c r="AQ35">
        <f t="shared" si="9"/>
        <v>1</v>
      </c>
      <c r="AR35">
        <f t="shared" si="10"/>
        <v>1</v>
      </c>
      <c r="AS35">
        <f t="shared" si="11"/>
        <v>1</v>
      </c>
      <c r="AT35">
        <f t="shared" si="12"/>
        <v>0</v>
      </c>
      <c r="AU35">
        <f t="shared" si="13"/>
        <v>0</v>
      </c>
      <c r="AV35">
        <f t="shared" si="14"/>
        <v>0</v>
      </c>
      <c r="AW35">
        <f t="shared" si="15"/>
        <v>1</v>
      </c>
      <c r="AX35">
        <f t="shared" si="16"/>
        <v>9</v>
      </c>
      <c r="AY35">
        <f>IF(Table13[[#This Row],[Please choose your sex]]="Male",0,1)</f>
        <v>0</v>
      </c>
      <c r="AZ35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35">
        <f>IF(Table13[[#This Row],[Do you hold a subspecialty qualification (degree / certificate) in Reproductive Endocrinology and Infertility?
]]="No",0,1)</f>
        <v>1</v>
      </c>
      <c r="BB35">
        <f>IF(Table13[[#This Row],[Do you provide clinical care for the management of infertility?]]="No",0,1)</f>
        <v>1</v>
      </c>
      <c r="BC35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35">
        <f>IF(Table13[[#This Row],[Do you have access to evidence-based clinical guidelines at your workplace?]]="No",0,1)</f>
        <v>1</v>
      </c>
      <c r="BE35">
        <f>IF(OR(Table13[[#This Row],[What is your practice setting? (Select all that apply.)]]="University hospital ;",Table13[[#This Row],[What is your practice setting? (Select all that apply.)]]="Public hospital ;"),1,0)</f>
        <v>1</v>
      </c>
      <c r="BF35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36" spans="1:58" ht="16" x14ac:dyDescent="0.2">
      <c r="A36" s="4">
        <v>9</v>
      </c>
      <c r="B36" s="5">
        <v>46110.63386574074</v>
      </c>
      <c r="C36" s="5">
        <v>46110.635925925926</v>
      </c>
      <c r="D36" s="4" t="s">
        <v>29</v>
      </c>
      <c r="E36" s="6">
        <v>1982</v>
      </c>
      <c r="F36" s="4" t="s">
        <v>30</v>
      </c>
      <c r="G36" s="6">
        <v>2008</v>
      </c>
      <c r="H36" s="4" t="s">
        <v>45</v>
      </c>
      <c r="I36" s="4" t="s">
        <v>32</v>
      </c>
      <c r="J36" s="4" t="s">
        <v>33</v>
      </c>
      <c r="K36" s="4" t="s">
        <v>42</v>
      </c>
      <c r="L36" s="4" t="s">
        <v>46</v>
      </c>
      <c r="M36" s="4" t="s">
        <v>37</v>
      </c>
      <c r="N36" s="4" t="s">
        <v>36</v>
      </c>
      <c r="O36" s="4" t="s">
        <v>37</v>
      </c>
      <c r="P36" s="4" t="s">
        <v>37</v>
      </c>
      <c r="Q36" s="4" t="s">
        <v>37</v>
      </c>
      <c r="R36" s="4" t="s">
        <v>38</v>
      </c>
      <c r="S36" s="4" t="s">
        <v>36</v>
      </c>
      <c r="T36" s="4" t="s">
        <v>39</v>
      </c>
      <c r="U36" s="4" t="s">
        <v>39</v>
      </c>
      <c r="V36" s="4" t="s">
        <v>47</v>
      </c>
      <c r="W36" s="4" t="s">
        <v>47</v>
      </c>
      <c r="X36" s="4" t="s">
        <v>47</v>
      </c>
      <c r="Y36" s="4" t="s">
        <v>37</v>
      </c>
      <c r="Z36" s="4" t="s">
        <v>37</v>
      </c>
      <c r="AA36" s="4" t="s">
        <v>37</v>
      </c>
      <c r="AB36" s="4" t="s">
        <v>33</v>
      </c>
      <c r="AC36" s="4" t="s">
        <v>40</v>
      </c>
      <c r="AF36" s="7">
        <f>Table13[[#This Row],[Completion time]]-Table13[[#This Row],[Start time]]</f>
        <v>2.0601851865649223E-3</v>
      </c>
      <c r="AG36" s="8">
        <f>2026-Table13[[#This Row],[What is your year of birth? ]]</f>
        <v>44</v>
      </c>
      <c r="AH36">
        <f>2026-Table13[[#This Row],[Please indicate the year you graduated from the Faculty of Medicine]]</f>
        <v>18</v>
      </c>
      <c r="AI36">
        <f t="shared" si="1"/>
        <v>0</v>
      </c>
      <c r="AJ36">
        <f t="shared" si="2"/>
        <v>0</v>
      </c>
      <c r="AK36">
        <f t="shared" si="3"/>
        <v>0</v>
      </c>
      <c r="AL36">
        <f t="shared" si="4"/>
        <v>0</v>
      </c>
      <c r="AM36">
        <f t="shared" si="5"/>
        <v>1</v>
      </c>
      <c r="AN36">
        <f t="shared" si="6"/>
        <v>1</v>
      </c>
      <c r="AO36">
        <f t="shared" si="7"/>
        <v>0</v>
      </c>
      <c r="AP36">
        <f t="shared" si="8"/>
        <v>0</v>
      </c>
      <c r="AQ36">
        <f t="shared" si="9"/>
        <v>1</v>
      </c>
      <c r="AR36">
        <f t="shared" si="10"/>
        <v>1</v>
      </c>
      <c r="AS36">
        <f t="shared" si="11"/>
        <v>1</v>
      </c>
      <c r="AT36">
        <f t="shared" si="12"/>
        <v>1</v>
      </c>
      <c r="AU36">
        <f t="shared" si="13"/>
        <v>0</v>
      </c>
      <c r="AV36">
        <f t="shared" si="14"/>
        <v>0</v>
      </c>
      <c r="AW36">
        <f t="shared" si="15"/>
        <v>0</v>
      </c>
      <c r="AX36">
        <f t="shared" si="16"/>
        <v>6</v>
      </c>
      <c r="AY36">
        <f>IF(Table13[[#This Row],[Please choose your sex]]="Male",0,1)</f>
        <v>0</v>
      </c>
      <c r="AZ36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36">
        <f>IF(Table13[[#This Row],[Do you hold a subspecialty qualification (degree / certificate) in Reproductive Endocrinology and Infertility?
]]="No",0,1)</f>
        <v>0</v>
      </c>
      <c r="BB36">
        <f>IF(Table13[[#This Row],[Do you provide clinical care for the management of infertility?]]="No",0,1)</f>
        <v>1</v>
      </c>
      <c r="BC36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36">
        <f>IF(Table13[[#This Row],[Do you have access to evidence-based clinical guidelines at your workplace?]]="No",0,1)</f>
        <v>1</v>
      </c>
      <c r="BE36">
        <f>IF(OR(Table13[[#This Row],[What is your practice setting? (Select all that apply.)]]="University hospital ;",Table13[[#This Row],[What is your practice setting? (Select all that apply.)]]="Public hospital ;"),1,0)</f>
        <v>0</v>
      </c>
      <c r="BF36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37" spans="1:58" ht="16" x14ac:dyDescent="0.2">
      <c r="A37" s="4">
        <v>10</v>
      </c>
      <c r="B37" s="5">
        <v>46110.674502314818</v>
      </c>
      <c r="C37" s="5">
        <v>46110.677743055552</v>
      </c>
      <c r="D37" s="4" t="s">
        <v>29</v>
      </c>
      <c r="E37" s="6">
        <v>1958</v>
      </c>
      <c r="F37" s="4" t="s">
        <v>30</v>
      </c>
      <c r="G37" s="6">
        <v>1981</v>
      </c>
      <c r="H37" s="4" t="s">
        <v>45</v>
      </c>
      <c r="I37" s="4" t="s">
        <v>32</v>
      </c>
      <c r="J37" s="4" t="s">
        <v>33</v>
      </c>
      <c r="K37" s="4" t="s">
        <v>42</v>
      </c>
      <c r="L37" s="4" t="s">
        <v>56</v>
      </c>
      <c r="M37" s="4" t="s">
        <v>38</v>
      </c>
      <c r="N37" s="4" t="s">
        <v>38</v>
      </c>
      <c r="O37" s="4" t="s">
        <v>38</v>
      </c>
      <c r="P37" s="4" t="s">
        <v>38</v>
      </c>
      <c r="Q37" s="4" t="s">
        <v>47</v>
      </c>
      <c r="R37" s="4" t="s">
        <v>38</v>
      </c>
      <c r="S37" s="4" t="s">
        <v>38</v>
      </c>
      <c r="T37" s="4" t="s">
        <v>38</v>
      </c>
      <c r="U37" s="4" t="s">
        <v>37</v>
      </c>
      <c r="V37" s="4" t="s">
        <v>36</v>
      </c>
      <c r="W37" s="4" t="s">
        <v>38</v>
      </c>
      <c r="X37" s="4" t="s">
        <v>38</v>
      </c>
      <c r="Y37" s="4" t="s">
        <v>38</v>
      </c>
      <c r="Z37" s="4" t="s">
        <v>38</v>
      </c>
      <c r="AA37" s="4" t="s">
        <v>38</v>
      </c>
      <c r="AB37" s="4" t="s">
        <v>33</v>
      </c>
      <c r="AC37" s="4" t="s">
        <v>57</v>
      </c>
      <c r="AF37" s="7">
        <f>Table13[[#This Row],[Completion time]]-Table13[[#This Row],[Start time]]</f>
        <v>3.2407407343271188E-3</v>
      </c>
      <c r="AG37" s="8">
        <f>2026-Table13[[#This Row],[What is your year of birth? ]]</f>
        <v>68</v>
      </c>
      <c r="AH37">
        <f>2026-Table13[[#This Row],[Please indicate the year you graduated from the Faculty of Medicine]]</f>
        <v>45</v>
      </c>
      <c r="AI37">
        <f t="shared" si="1"/>
        <v>1</v>
      </c>
      <c r="AJ37">
        <f t="shared" si="2"/>
        <v>1</v>
      </c>
      <c r="AK37">
        <f t="shared" si="3"/>
        <v>1</v>
      </c>
      <c r="AL37">
        <f t="shared" si="4"/>
        <v>1</v>
      </c>
      <c r="AM37">
        <f t="shared" si="5"/>
        <v>0</v>
      </c>
      <c r="AN37">
        <f t="shared" si="6"/>
        <v>1</v>
      </c>
      <c r="AO37">
        <f t="shared" si="7"/>
        <v>1</v>
      </c>
      <c r="AP37">
        <f t="shared" si="8"/>
        <v>1</v>
      </c>
      <c r="AQ37">
        <f t="shared" si="9"/>
        <v>1</v>
      </c>
      <c r="AR37">
        <f t="shared" si="10"/>
        <v>0</v>
      </c>
      <c r="AS37">
        <f t="shared" si="11"/>
        <v>1</v>
      </c>
      <c r="AT37">
        <f t="shared" si="12"/>
        <v>1</v>
      </c>
      <c r="AU37">
        <f t="shared" si="13"/>
        <v>1</v>
      </c>
      <c r="AV37">
        <f t="shared" si="14"/>
        <v>1</v>
      </c>
      <c r="AW37">
        <f t="shared" si="15"/>
        <v>1</v>
      </c>
      <c r="AX37">
        <f t="shared" si="16"/>
        <v>13</v>
      </c>
      <c r="AY37">
        <f>IF(Table13[[#This Row],[Please choose your sex]]="Male",0,1)</f>
        <v>0</v>
      </c>
      <c r="AZ37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37">
        <f>IF(Table13[[#This Row],[Do you hold a subspecialty qualification (degree / certificate) in Reproductive Endocrinology and Infertility?
]]="No",0,1)</f>
        <v>0</v>
      </c>
      <c r="BB37">
        <f>IF(Table13[[#This Row],[Do you provide clinical care for the management of infertility?]]="No",0,1)</f>
        <v>1</v>
      </c>
      <c r="BC37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37">
        <f>IF(Table13[[#This Row],[Do you have access to evidence-based clinical guidelines at your workplace?]]="No",0,1)</f>
        <v>1</v>
      </c>
      <c r="BE37">
        <f>IF(OR(Table13[[#This Row],[What is your practice setting? (Select all that apply.)]]="University hospital ;",Table13[[#This Row],[What is your practice setting? (Select all that apply.)]]="Public hospital ;"),1,0)</f>
        <v>0</v>
      </c>
      <c r="BF37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38" spans="1:58" ht="16" x14ac:dyDescent="0.2">
      <c r="A38" s="4">
        <v>11</v>
      </c>
      <c r="B38" s="5">
        <v>46111.748796296299</v>
      </c>
      <c r="C38" s="5">
        <v>46111.753750000003</v>
      </c>
      <c r="D38" s="4" t="s">
        <v>29</v>
      </c>
      <c r="E38" s="6">
        <v>1988</v>
      </c>
      <c r="F38" s="4" t="s">
        <v>30</v>
      </c>
      <c r="G38" s="6">
        <v>2012</v>
      </c>
      <c r="H38" s="4" t="s">
        <v>58</v>
      </c>
      <c r="I38" s="4" t="s">
        <v>33</v>
      </c>
      <c r="J38" s="4" t="s">
        <v>33</v>
      </c>
      <c r="K38" s="4" t="s">
        <v>42</v>
      </c>
      <c r="L38" s="4" t="s">
        <v>46</v>
      </c>
      <c r="M38" s="4" t="s">
        <v>38</v>
      </c>
      <c r="N38" s="4" t="s">
        <v>47</v>
      </c>
      <c r="O38" s="4" t="s">
        <v>36</v>
      </c>
      <c r="P38" s="4" t="s">
        <v>38</v>
      </c>
      <c r="Q38" s="4" t="s">
        <v>39</v>
      </c>
      <c r="R38" s="4" t="s">
        <v>38</v>
      </c>
      <c r="S38" s="4" t="s">
        <v>47</v>
      </c>
      <c r="T38" s="4" t="s">
        <v>37</v>
      </c>
      <c r="U38" s="4" t="s">
        <v>37</v>
      </c>
      <c r="V38" s="4" t="s">
        <v>38</v>
      </c>
      <c r="W38" s="4" t="s">
        <v>38</v>
      </c>
      <c r="X38" s="4" t="s">
        <v>38</v>
      </c>
      <c r="Y38" s="4" t="s">
        <v>37</v>
      </c>
      <c r="Z38" s="4" t="s">
        <v>38</v>
      </c>
      <c r="AA38" s="4" t="s">
        <v>38</v>
      </c>
      <c r="AB38" s="4" t="s">
        <v>33</v>
      </c>
      <c r="AC38" s="4" t="s">
        <v>59</v>
      </c>
      <c r="AF38" s="7">
        <f>Table13[[#This Row],[Completion time]]-Table13[[#This Row],[Start time]]</f>
        <v>4.9537037048139609E-3</v>
      </c>
      <c r="AG38" s="8">
        <f>2026-Table13[[#This Row],[What is your year of birth? ]]</f>
        <v>38</v>
      </c>
      <c r="AH38">
        <f>2026-Table13[[#This Row],[Please indicate the year you graduated from the Faculty of Medicine]]</f>
        <v>14</v>
      </c>
      <c r="AI38">
        <f t="shared" si="1"/>
        <v>1</v>
      </c>
      <c r="AJ38">
        <f t="shared" si="2"/>
        <v>1</v>
      </c>
      <c r="AK38">
        <f t="shared" si="3"/>
        <v>0</v>
      </c>
      <c r="AL38">
        <f t="shared" si="4"/>
        <v>1</v>
      </c>
      <c r="AM38">
        <f t="shared" si="5"/>
        <v>1</v>
      </c>
      <c r="AN38">
        <f t="shared" si="6"/>
        <v>1</v>
      </c>
      <c r="AO38">
        <f t="shared" si="7"/>
        <v>1</v>
      </c>
      <c r="AP38">
        <f t="shared" si="8"/>
        <v>0</v>
      </c>
      <c r="AQ38">
        <f t="shared" si="9"/>
        <v>1</v>
      </c>
      <c r="AR38">
        <f t="shared" si="10"/>
        <v>1</v>
      </c>
      <c r="AS38">
        <f t="shared" si="11"/>
        <v>1</v>
      </c>
      <c r="AT38">
        <f t="shared" si="12"/>
        <v>1</v>
      </c>
      <c r="AU38">
        <f t="shared" si="13"/>
        <v>0</v>
      </c>
      <c r="AV38">
        <f t="shared" si="14"/>
        <v>1</v>
      </c>
      <c r="AW38">
        <f t="shared" si="15"/>
        <v>1</v>
      </c>
      <c r="AX38">
        <f t="shared" si="16"/>
        <v>12</v>
      </c>
      <c r="AY38">
        <f>IF(Table13[[#This Row],[Please choose your sex]]="Male",0,1)</f>
        <v>0</v>
      </c>
      <c r="AZ38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38">
        <f>IF(Table13[[#This Row],[Do you hold a subspecialty qualification (degree / certificate) in Reproductive Endocrinology and Infertility?
]]="No",0,1)</f>
        <v>1</v>
      </c>
      <c r="BB38">
        <f>IF(Table13[[#This Row],[Do you provide clinical care for the management of infertility?]]="No",0,1)</f>
        <v>1</v>
      </c>
      <c r="BC38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38">
        <f>IF(Table13[[#This Row],[Do you have access to evidence-based clinical guidelines at your workplace?]]="No",0,1)</f>
        <v>1</v>
      </c>
      <c r="BE38">
        <f>IF(OR(Table13[[#This Row],[What is your practice setting? (Select all that apply.)]]="University hospital ;",Table13[[#This Row],[What is your practice setting? (Select all that apply.)]]="Public hospital ;"),1,0)</f>
        <v>0</v>
      </c>
      <c r="BF38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39" spans="1:58" ht="16" x14ac:dyDescent="0.2">
      <c r="A39" s="4">
        <v>12</v>
      </c>
      <c r="B39" s="5">
        <v>46112.553564814814</v>
      </c>
      <c r="C39" s="5">
        <v>46112.555995370371</v>
      </c>
      <c r="D39" s="4" t="s">
        <v>29</v>
      </c>
      <c r="E39" s="6">
        <v>1991</v>
      </c>
      <c r="F39" s="4" t="s">
        <v>30</v>
      </c>
      <c r="G39" s="6">
        <v>2015</v>
      </c>
      <c r="H39" s="4" t="s">
        <v>45</v>
      </c>
      <c r="I39" s="4" t="s">
        <v>32</v>
      </c>
      <c r="J39" s="4" t="s">
        <v>33</v>
      </c>
      <c r="K39" s="4" t="s">
        <v>34</v>
      </c>
      <c r="L39" s="4" t="s">
        <v>46</v>
      </c>
      <c r="M39" s="4" t="s">
        <v>38</v>
      </c>
      <c r="N39" s="4" t="s">
        <v>36</v>
      </c>
      <c r="O39" s="4" t="s">
        <v>37</v>
      </c>
      <c r="P39" s="4" t="s">
        <v>36</v>
      </c>
      <c r="Q39" s="4" t="s">
        <v>39</v>
      </c>
      <c r="R39" s="4" t="s">
        <v>38</v>
      </c>
      <c r="S39" s="4" t="s">
        <v>38</v>
      </c>
      <c r="T39" s="4" t="s">
        <v>38</v>
      </c>
      <c r="U39" s="4" t="s">
        <v>37</v>
      </c>
      <c r="V39" s="4" t="s">
        <v>37</v>
      </c>
      <c r="W39" s="4" t="s">
        <v>37</v>
      </c>
      <c r="X39" s="4" t="s">
        <v>37</v>
      </c>
      <c r="Y39" s="4" t="s">
        <v>38</v>
      </c>
      <c r="Z39" s="4" t="s">
        <v>37</v>
      </c>
      <c r="AA39" s="4" t="s">
        <v>38</v>
      </c>
      <c r="AB39" s="4" t="s">
        <v>33</v>
      </c>
      <c r="AC39" s="4" t="s">
        <v>60</v>
      </c>
      <c r="AF39" s="7">
        <f>Table13[[#This Row],[Completion time]]-Table13[[#This Row],[Start time]]</f>
        <v>2.4305555562023073E-3</v>
      </c>
      <c r="AG39" s="8">
        <f>2026-Table13[[#This Row],[What is your year of birth? ]]</f>
        <v>35</v>
      </c>
      <c r="AH39">
        <f>2026-Table13[[#This Row],[Please indicate the year you graduated from the Faculty of Medicine]]</f>
        <v>11</v>
      </c>
      <c r="AI39">
        <f t="shared" si="1"/>
        <v>1</v>
      </c>
      <c r="AJ39">
        <f t="shared" si="2"/>
        <v>0</v>
      </c>
      <c r="AK39">
        <f t="shared" si="3"/>
        <v>0</v>
      </c>
      <c r="AL39">
        <f t="shared" si="4"/>
        <v>0</v>
      </c>
      <c r="AM39">
        <f t="shared" si="5"/>
        <v>1</v>
      </c>
      <c r="AN39">
        <f t="shared" si="6"/>
        <v>1</v>
      </c>
      <c r="AO39">
        <f t="shared" si="7"/>
        <v>1</v>
      </c>
      <c r="AP39">
        <f t="shared" si="8"/>
        <v>1</v>
      </c>
      <c r="AQ39">
        <f t="shared" si="9"/>
        <v>1</v>
      </c>
      <c r="AR39">
        <f t="shared" si="10"/>
        <v>0</v>
      </c>
      <c r="AS39">
        <f t="shared" si="11"/>
        <v>0</v>
      </c>
      <c r="AT39">
        <f t="shared" si="12"/>
        <v>0</v>
      </c>
      <c r="AU39">
        <f t="shared" si="13"/>
        <v>1</v>
      </c>
      <c r="AV39">
        <f t="shared" si="14"/>
        <v>0</v>
      </c>
      <c r="AW39">
        <f t="shared" si="15"/>
        <v>1</v>
      </c>
      <c r="AX39">
        <f t="shared" si="16"/>
        <v>8</v>
      </c>
      <c r="AY39">
        <f>IF(Table13[[#This Row],[Please choose your sex]]="Male",0,1)</f>
        <v>0</v>
      </c>
      <c r="AZ39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39">
        <f>IF(Table13[[#This Row],[Do you hold a subspecialty qualification (degree / certificate) in Reproductive Endocrinology and Infertility?
]]="No",0,1)</f>
        <v>0</v>
      </c>
      <c r="BB39">
        <f>IF(Table13[[#This Row],[Do you provide clinical care for the management of infertility?]]="No",0,1)</f>
        <v>1</v>
      </c>
      <c r="BC39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39">
        <f>IF(Table13[[#This Row],[Do you have access to evidence-based clinical guidelines at your workplace?]]="No",0,1)</f>
        <v>1</v>
      </c>
      <c r="BE39">
        <f>IF(OR(Table13[[#This Row],[What is your practice setting? (Select all that apply.)]]="University hospital ;",Table13[[#This Row],[What is your practice setting? (Select all that apply.)]]="Public hospital ;"),1,0)</f>
        <v>0</v>
      </c>
      <c r="BF39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40" spans="1:58" ht="16" x14ac:dyDescent="0.2">
      <c r="A40" s="4">
        <v>13</v>
      </c>
      <c r="B40" s="5">
        <v>46112.588553240741</v>
      </c>
      <c r="C40" s="5">
        <v>46112.590254629627</v>
      </c>
      <c r="D40" s="4" t="s">
        <v>29</v>
      </c>
      <c r="E40" s="6">
        <v>1991</v>
      </c>
      <c r="F40" s="4" t="s">
        <v>30</v>
      </c>
      <c r="G40" s="6">
        <v>2014</v>
      </c>
      <c r="H40" s="4" t="s">
        <v>61</v>
      </c>
      <c r="I40" s="4" t="s">
        <v>33</v>
      </c>
      <c r="J40" s="4" t="s">
        <v>33</v>
      </c>
      <c r="K40" s="4" t="s">
        <v>66</v>
      </c>
      <c r="L40" s="4" t="s">
        <v>43</v>
      </c>
      <c r="M40" s="4" t="s">
        <v>36</v>
      </c>
      <c r="N40" s="4" t="s">
        <v>38</v>
      </c>
      <c r="O40" s="4" t="s">
        <v>36</v>
      </c>
      <c r="P40" s="4" t="s">
        <v>37</v>
      </c>
      <c r="Q40" s="4" t="s">
        <v>39</v>
      </c>
      <c r="R40" s="4" t="s">
        <v>36</v>
      </c>
      <c r="S40" s="4" t="s">
        <v>47</v>
      </c>
      <c r="T40" s="4" t="s">
        <v>38</v>
      </c>
      <c r="U40" s="4" t="s">
        <v>39</v>
      </c>
      <c r="V40" s="4" t="s">
        <v>38</v>
      </c>
      <c r="W40" s="4" t="s">
        <v>38</v>
      </c>
      <c r="X40" s="4" t="s">
        <v>38</v>
      </c>
      <c r="Y40" s="4" t="s">
        <v>36</v>
      </c>
      <c r="Z40" s="4" t="s">
        <v>37</v>
      </c>
      <c r="AA40" s="4" t="s">
        <v>38</v>
      </c>
      <c r="AB40" s="4" t="s">
        <v>33</v>
      </c>
      <c r="AC40" s="4" t="s">
        <v>57</v>
      </c>
      <c r="AF40" s="7">
        <f>Table13[[#This Row],[Completion time]]-Table13[[#This Row],[Start time]]</f>
        <v>1.7013888864312321E-3</v>
      </c>
      <c r="AG40" s="8">
        <f>2026-Table13[[#This Row],[What is your year of birth? ]]</f>
        <v>35</v>
      </c>
      <c r="AH40">
        <f>2026-Table13[[#This Row],[Please indicate the year you graduated from the Faculty of Medicine]]</f>
        <v>12</v>
      </c>
      <c r="AI40">
        <f t="shared" si="1"/>
        <v>0</v>
      </c>
      <c r="AJ40">
        <f t="shared" si="2"/>
        <v>1</v>
      </c>
      <c r="AK40">
        <f t="shared" si="3"/>
        <v>0</v>
      </c>
      <c r="AL40">
        <f t="shared" si="4"/>
        <v>0</v>
      </c>
      <c r="AM40">
        <f t="shared" si="5"/>
        <v>1</v>
      </c>
      <c r="AN40">
        <f t="shared" si="6"/>
        <v>0</v>
      </c>
      <c r="AO40">
        <f t="shared" si="7"/>
        <v>1</v>
      </c>
      <c r="AP40">
        <f t="shared" si="8"/>
        <v>1</v>
      </c>
      <c r="AQ40">
        <f t="shared" si="9"/>
        <v>1</v>
      </c>
      <c r="AR40">
        <f t="shared" si="10"/>
        <v>1</v>
      </c>
      <c r="AS40">
        <f t="shared" si="11"/>
        <v>1</v>
      </c>
      <c r="AT40">
        <f t="shared" si="12"/>
        <v>1</v>
      </c>
      <c r="AU40">
        <f t="shared" si="13"/>
        <v>0</v>
      </c>
      <c r="AV40">
        <f t="shared" si="14"/>
        <v>0</v>
      </c>
      <c r="AW40">
        <f t="shared" si="15"/>
        <v>1</v>
      </c>
      <c r="AX40">
        <f t="shared" si="16"/>
        <v>9</v>
      </c>
      <c r="AY40">
        <f>IF(Table13[[#This Row],[Please choose your sex]]="Male",0,1)</f>
        <v>0</v>
      </c>
      <c r="AZ40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40">
        <f>IF(Table13[[#This Row],[Do you hold a subspecialty qualification (degree / certificate) in Reproductive Endocrinology and Infertility?
]]="No",0,1)</f>
        <v>1</v>
      </c>
      <c r="BB40">
        <f>IF(Table13[[#This Row],[Do you provide clinical care for the management of infertility?]]="No",0,1)</f>
        <v>1</v>
      </c>
      <c r="BC40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40">
        <f>IF(Table13[[#This Row],[Do you have access to evidence-based clinical guidelines at your workplace?]]="No",0,1)</f>
        <v>1</v>
      </c>
      <c r="BE40">
        <f>IF(OR(Table13[[#This Row],[What is your practice setting? (Select all that apply.)]]="University hospital ;",Table13[[#This Row],[What is your practice setting? (Select all that apply.)]]="Public hospital ;"),1,0)</f>
        <v>1</v>
      </c>
      <c r="BF40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41" spans="1:58" ht="16" x14ac:dyDescent="0.2">
      <c r="A41" s="4">
        <v>15</v>
      </c>
      <c r="B41" s="5">
        <v>46113.455949074072</v>
      </c>
      <c r="C41" s="5">
        <v>46113.457685185182</v>
      </c>
      <c r="D41" s="4" t="s">
        <v>29</v>
      </c>
      <c r="E41" s="6">
        <v>1992</v>
      </c>
      <c r="F41" s="4" t="s">
        <v>30</v>
      </c>
      <c r="G41" s="6">
        <v>2015</v>
      </c>
      <c r="H41" s="4" t="s">
        <v>45</v>
      </c>
      <c r="I41" s="4" t="s">
        <v>32</v>
      </c>
      <c r="J41" s="4" t="s">
        <v>33</v>
      </c>
      <c r="K41" s="4" t="s">
        <v>34</v>
      </c>
      <c r="L41" s="4" t="s">
        <v>51</v>
      </c>
      <c r="M41" s="4" t="s">
        <v>38</v>
      </c>
      <c r="N41" s="4" t="s">
        <v>47</v>
      </c>
      <c r="O41" s="4" t="s">
        <v>38</v>
      </c>
      <c r="P41" s="4" t="s">
        <v>38</v>
      </c>
      <c r="Q41" s="4" t="s">
        <v>39</v>
      </c>
      <c r="R41" s="4" t="s">
        <v>38</v>
      </c>
      <c r="S41" s="4" t="s">
        <v>38</v>
      </c>
      <c r="T41" s="4" t="s">
        <v>37</v>
      </c>
      <c r="U41" s="4" t="s">
        <v>39</v>
      </c>
      <c r="V41" s="4" t="s">
        <v>38</v>
      </c>
      <c r="W41" s="4" t="s">
        <v>38</v>
      </c>
      <c r="X41" s="4" t="s">
        <v>38</v>
      </c>
      <c r="Y41" s="4" t="s">
        <v>47</v>
      </c>
      <c r="Z41" s="4" t="s">
        <v>38</v>
      </c>
      <c r="AA41" s="4" t="s">
        <v>47</v>
      </c>
      <c r="AB41" s="4" t="s">
        <v>33</v>
      </c>
      <c r="AC41" s="4" t="s">
        <v>55</v>
      </c>
      <c r="AF41" s="7">
        <f>Table13[[#This Row],[Completion time]]-Table13[[#This Row],[Start time]]</f>
        <v>1.7361111094942316E-3</v>
      </c>
      <c r="AG41" s="8">
        <f>2026-Table13[[#This Row],[What is your year of birth? ]]</f>
        <v>34</v>
      </c>
      <c r="AH41">
        <f>2026-Table13[[#This Row],[Please indicate the year you graduated from the Faculty of Medicine]]</f>
        <v>11</v>
      </c>
      <c r="AI41">
        <f t="shared" si="1"/>
        <v>1</v>
      </c>
      <c r="AJ41">
        <f t="shared" si="2"/>
        <v>1</v>
      </c>
      <c r="AK41">
        <f t="shared" si="3"/>
        <v>1</v>
      </c>
      <c r="AL41">
        <f t="shared" si="4"/>
        <v>1</v>
      </c>
      <c r="AM41">
        <f t="shared" si="5"/>
        <v>1</v>
      </c>
      <c r="AN41">
        <f t="shared" si="6"/>
        <v>1</v>
      </c>
      <c r="AO41">
        <f t="shared" si="7"/>
        <v>1</v>
      </c>
      <c r="AP41">
        <f t="shared" si="8"/>
        <v>0</v>
      </c>
      <c r="AQ41">
        <f t="shared" si="9"/>
        <v>1</v>
      </c>
      <c r="AR41">
        <f t="shared" si="10"/>
        <v>1</v>
      </c>
      <c r="AS41">
        <f t="shared" si="11"/>
        <v>1</v>
      </c>
      <c r="AT41">
        <f t="shared" si="12"/>
        <v>1</v>
      </c>
      <c r="AU41">
        <f t="shared" si="13"/>
        <v>1</v>
      </c>
      <c r="AV41">
        <f t="shared" si="14"/>
        <v>1</v>
      </c>
      <c r="AW41">
        <f t="shared" si="15"/>
        <v>1</v>
      </c>
      <c r="AX41">
        <f t="shared" si="16"/>
        <v>14</v>
      </c>
      <c r="AY41">
        <f>IF(Table13[[#This Row],[Please choose your sex]]="Male",0,1)</f>
        <v>0</v>
      </c>
      <c r="AZ41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41">
        <f>IF(Table13[[#This Row],[Do you hold a subspecialty qualification (degree / certificate) in Reproductive Endocrinology and Infertility?
]]="No",0,1)</f>
        <v>0</v>
      </c>
      <c r="BB41">
        <f>IF(Table13[[#This Row],[Do you provide clinical care for the management of infertility?]]="No",0,1)</f>
        <v>1</v>
      </c>
      <c r="BC41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41">
        <f>IF(Table13[[#This Row],[Do you have access to evidence-based clinical guidelines at your workplace?]]="No",0,1)</f>
        <v>1</v>
      </c>
      <c r="BE41">
        <f>IF(OR(Table13[[#This Row],[What is your practice setting? (Select all that apply.)]]="University hospital ;",Table13[[#This Row],[What is your practice setting? (Select all that apply.)]]="Public hospital ;"),1,0)</f>
        <v>0</v>
      </c>
      <c r="BF41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42" spans="1:58" ht="16" x14ac:dyDescent="0.2">
      <c r="A42" s="4">
        <v>17</v>
      </c>
      <c r="B42" s="5">
        <v>46113.603483796294</v>
      </c>
      <c r="C42" s="5">
        <v>46113.607129629629</v>
      </c>
      <c r="D42" s="4" t="s">
        <v>29</v>
      </c>
      <c r="E42" s="6">
        <v>1994</v>
      </c>
      <c r="F42" s="4" t="s">
        <v>44</v>
      </c>
      <c r="G42" s="6">
        <v>1994</v>
      </c>
      <c r="H42" s="4" t="s">
        <v>45</v>
      </c>
      <c r="I42" s="4" t="s">
        <v>33</v>
      </c>
      <c r="J42" s="4" t="s">
        <v>33</v>
      </c>
      <c r="K42" s="4" t="s">
        <v>34</v>
      </c>
      <c r="L42" s="4" t="s">
        <v>43</v>
      </c>
      <c r="M42" s="4" t="s">
        <v>37</v>
      </c>
      <c r="N42" s="4" t="s">
        <v>37</v>
      </c>
      <c r="O42" s="4" t="s">
        <v>38</v>
      </c>
      <c r="P42" s="4" t="s">
        <v>37</v>
      </c>
      <c r="Q42" s="4" t="s">
        <v>37</v>
      </c>
      <c r="R42" s="4" t="s">
        <v>37</v>
      </c>
      <c r="S42" s="4" t="s">
        <v>36</v>
      </c>
      <c r="T42" s="4" t="s">
        <v>37</v>
      </c>
      <c r="U42" s="4" t="s">
        <v>37</v>
      </c>
      <c r="V42" s="4" t="s">
        <v>36</v>
      </c>
      <c r="W42" s="4" t="s">
        <v>36</v>
      </c>
      <c r="X42" s="4" t="s">
        <v>37</v>
      </c>
      <c r="Y42" s="4" t="s">
        <v>37</v>
      </c>
      <c r="Z42" s="4" t="s">
        <v>37</v>
      </c>
      <c r="AA42" s="4" t="s">
        <v>37</v>
      </c>
      <c r="AB42" s="4" t="s">
        <v>32</v>
      </c>
      <c r="AC42" s="4" t="s">
        <v>40</v>
      </c>
      <c r="AF42" s="7">
        <f>Table13[[#This Row],[Completion time]]-Table13[[#This Row],[Start time]]</f>
        <v>3.645833334303461E-3</v>
      </c>
      <c r="AG42" s="8">
        <f>2026-Table13[[#This Row],[What is your year of birth? ]]</f>
        <v>32</v>
      </c>
      <c r="AH42">
        <f>2026-Table13[[#This Row],[Please indicate the year you graduated from the Faculty of Medicine]]</f>
        <v>32</v>
      </c>
      <c r="AI42">
        <f t="shared" si="1"/>
        <v>0</v>
      </c>
      <c r="AJ42">
        <f t="shared" si="2"/>
        <v>0</v>
      </c>
      <c r="AK42">
        <f t="shared" si="3"/>
        <v>1</v>
      </c>
      <c r="AL42">
        <f t="shared" si="4"/>
        <v>0</v>
      </c>
      <c r="AM42">
        <f t="shared" si="5"/>
        <v>1</v>
      </c>
      <c r="AN42">
        <f t="shared" si="6"/>
        <v>0</v>
      </c>
      <c r="AO42">
        <f t="shared" si="7"/>
        <v>0</v>
      </c>
      <c r="AP42">
        <f t="shared" si="8"/>
        <v>0</v>
      </c>
      <c r="AQ42">
        <f t="shared" si="9"/>
        <v>1</v>
      </c>
      <c r="AR42">
        <f t="shared" si="10"/>
        <v>0</v>
      </c>
      <c r="AS42">
        <f t="shared" si="11"/>
        <v>0</v>
      </c>
      <c r="AT42">
        <f t="shared" si="12"/>
        <v>0</v>
      </c>
      <c r="AU42">
        <f t="shared" si="13"/>
        <v>0</v>
      </c>
      <c r="AV42">
        <f t="shared" si="14"/>
        <v>0</v>
      </c>
      <c r="AW42">
        <f t="shared" si="15"/>
        <v>0</v>
      </c>
      <c r="AX42">
        <f t="shared" si="16"/>
        <v>3</v>
      </c>
      <c r="AY42">
        <f>IF(Table13[[#This Row],[Please choose your sex]]="Male",0,1)</f>
        <v>1</v>
      </c>
      <c r="AZ42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42">
        <f>IF(Table13[[#This Row],[Do you hold a subspecialty qualification (degree / certificate) in Reproductive Endocrinology and Infertility?
]]="No",0,1)</f>
        <v>1</v>
      </c>
      <c r="BB42">
        <f>IF(Table13[[#This Row],[Do you provide clinical care for the management of infertility?]]="No",0,1)</f>
        <v>1</v>
      </c>
      <c r="BC42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42">
        <f>IF(Table13[[#This Row],[Do you have access to evidence-based clinical guidelines at your workplace?]]="No",0,1)</f>
        <v>0</v>
      </c>
      <c r="BE42">
        <f>IF(OR(Table13[[#This Row],[What is your practice setting? (Select all that apply.)]]="University hospital ;",Table13[[#This Row],[What is your practice setting? (Select all that apply.)]]="Public hospital ;"),1,0)</f>
        <v>1</v>
      </c>
      <c r="BF42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43" spans="1:58" ht="16" x14ac:dyDescent="0.2">
      <c r="A43" s="4">
        <v>19</v>
      </c>
      <c r="B43" s="5">
        <v>46113.848020833335</v>
      </c>
      <c r="C43" s="5">
        <v>46113.850462962961</v>
      </c>
      <c r="D43" s="4" t="s">
        <v>29</v>
      </c>
      <c r="E43" s="6">
        <v>1992</v>
      </c>
      <c r="F43" s="4" t="s">
        <v>44</v>
      </c>
      <c r="G43" s="6">
        <v>2015</v>
      </c>
      <c r="H43" s="4" t="s">
        <v>63</v>
      </c>
      <c r="I43" s="4" t="s">
        <v>33</v>
      </c>
      <c r="J43" s="4" t="s">
        <v>33</v>
      </c>
      <c r="K43" s="4" t="s">
        <v>34</v>
      </c>
      <c r="L43" s="4" t="s">
        <v>64</v>
      </c>
      <c r="M43" s="4" t="s">
        <v>47</v>
      </c>
      <c r="N43" s="4" t="s">
        <v>47</v>
      </c>
      <c r="O43" s="4" t="s">
        <v>47</v>
      </c>
      <c r="P43" s="4" t="s">
        <v>47</v>
      </c>
      <c r="Q43" s="4" t="s">
        <v>39</v>
      </c>
      <c r="R43" s="4" t="s">
        <v>47</v>
      </c>
      <c r="S43" s="4" t="s">
        <v>47</v>
      </c>
      <c r="T43" s="4" t="s">
        <v>47</v>
      </c>
      <c r="U43" s="4" t="s">
        <v>47</v>
      </c>
      <c r="V43" s="4" t="s">
        <v>47</v>
      </c>
      <c r="W43" s="4" t="s">
        <v>47</v>
      </c>
      <c r="X43" s="4" t="s">
        <v>47</v>
      </c>
      <c r="Y43" s="4" t="s">
        <v>39</v>
      </c>
      <c r="Z43" s="4" t="s">
        <v>36</v>
      </c>
      <c r="AA43" s="4" t="s">
        <v>47</v>
      </c>
      <c r="AB43" s="4" t="s">
        <v>33</v>
      </c>
      <c r="AC43" s="4" t="s">
        <v>65</v>
      </c>
      <c r="AF43" s="7">
        <f>Table13[[#This Row],[Completion time]]-Table13[[#This Row],[Start time]]</f>
        <v>2.4421296257060021E-3</v>
      </c>
      <c r="AG43" s="8">
        <f>2026-Table13[[#This Row],[What is your year of birth? ]]</f>
        <v>34</v>
      </c>
      <c r="AH43">
        <f>2026-Table13[[#This Row],[Please indicate the year you graduated from the Faculty of Medicine]]</f>
        <v>11</v>
      </c>
      <c r="AI43">
        <f t="shared" si="1"/>
        <v>1</v>
      </c>
      <c r="AJ43">
        <f t="shared" si="2"/>
        <v>1</v>
      </c>
      <c r="AK43">
        <f t="shared" si="3"/>
        <v>1</v>
      </c>
      <c r="AL43">
        <f t="shared" si="4"/>
        <v>1</v>
      </c>
      <c r="AM43">
        <f t="shared" si="5"/>
        <v>1</v>
      </c>
      <c r="AN43">
        <f t="shared" si="6"/>
        <v>1</v>
      </c>
      <c r="AO43">
        <f t="shared" si="7"/>
        <v>1</v>
      </c>
      <c r="AP43">
        <f t="shared" si="8"/>
        <v>1</v>
      </c>
      <c r="AQ43">
        <f t="shared" si="9"/>
        <v>0</v>
      </c>
      <c r="AR43">
        <f t="shared" si="10"/>
        <v>1</v>
      </c>
      <c r="AS43">
        <f t="shared" si="11"/>
        <v>1</v>
      </c>
      <c r="AT43">
        <f t="shared" si="12"/>
        <v>1</v>
      </c>
      <c r="AU43">
        <f t="shared" si="13"/>
        <v>0</v>
      </c>
      <c r="AV43">
        <f t="shared" si="14"/>
        <v>0</v>
      </c>
      <c r="AW43">
        <f t="shared" si="15"/>
        <v>1</v>
      </c>
      <c r="AX43">
        <f t="shared" si="16"/>
        <v>12</v>
      </c>
      <c r="AY43">
        <f>IF(Table13[[#This Row],[Please choose your sex]]="Male",0,1)</f>
        <v>1</v>
      </c>
      <c r="AZ43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43">
        <f>IF(Table13[[#This Row],[Do you hold a subspecialty qualification (degree / certificate) in Reproductive Endocrinology and Infertility?
]]="No",0,1)</f>
        <v>1</v>
      </c>
      <c r="BB43">
        <f>IF(Table13[[#This Row],[Do you provide clinical care for the management of infertility?]]="No",0,1)</f>
        <v>1</v>
      </c>
      <c r="BC43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43">
        <f>IF(Table13[[#This Row],[Do you have access to evidence-based clinical guidelines at your workplace?]]="No",0,1)</f>
        <v>1</v>
      </c>
      <c r="BE43">
        <f>IF(OR(Table13[[#This Row],[What is your practice setting? (Select all that apply.)]]="University hospital ;",Table13[[#This Row],[What is your practice setting? (Select all that apply.)]]="Public hospital ;"),1,0)</f>
        <v>0</v>
      </c>
      <c r="BF43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44" spans="1:58" ht="16" x14ac:dyDescent="0.2">
      <c r="A44" s="4">
        <v>20</v>
      </c>
      <c r="B44" s="5">
        <v>46113.834837962961</v>
      </c>
      <c r="C44" s="5">
        <v>46113.86109953704</v>
      </c>
      <c r="D44" s="4" t="s">
        <v>29</v>
      </c>
      <c r="E44" s="6">
        <v>1991</v>
      </c>
      <c r="F44" s="4" t="s">
        <v>30</v>
      </c>
      <c r="G44" s="6">
        <v>2015</v>
      </c>
      <c r="H44" s="4" t="s">
        <v>45</v>
      </c>
      <c r="I44" s="4" t="s">
        <v>32</v>
      </c>
      <c r="J44" s="4" t="s">
        <v>33</v>
      </c>
      <c r="K44" s="4" t="s">
        <v>34</v>
      </c>
      <c r="L44" s="4" t="s">
        <v>43</v>
      </c>
      <c r="M44" s="4" t="s">
        <v>38</v>
      </c>
      <c r="N44" s="4" t="s">
        <v>38</v>
      </c>
      <c r="O44" s="4" t="s">
        <v>36</v>
      </c>
      <c r="P44" s="4" t="s">
        <v>39</v>
      </c>
      <c r="Q44" s="4" t="s">
        <v>39</v>
      </c>
      <c r="R44" s="4" t="s">
        <v>38</v>
      </c>
      <c r="S44" s="4" t="s">
        <v>38</v>
      </c>
      <c r="T44" s="4" t="s">
        <v>38</v>
      </c>
      <c r="U44" s="4" t="s">
        <v>39</v>
      </c>
      <c r="V44" s="4" t="s">
        <v>36</v>
      </c>
      <c r="W44" s="4" t="s">
        <v>38</v>
      </c>
      <c r="X44" s="4" t="s">
        <v>37</v>
      </c>
      <c r="Y44" s="4" t="s">
        <v>37</v>
      </c>
      <c r="Z44" s="4" t="s">
        <v>37</v>
      </c>
      <c r="AA44" s="4" t="s">
        <v>47</v>
      </c>
      <c r="AB44" s="4" t="s">
        <v>33</v>
      </c>
      <c r="AC44" s="4" t="s">
        <v>40</v>
      </c>
      <c r="AF44" s="7">
        <f>Table13[[#This Row],[Completion time]]-Table13[[#This Row],[Start time]]</f>
        <v>2.6261574079398997E-2</v>
      </c>
      <c r="AG44" s="8">
        <f>2026-Table13[[#This Row],[What is your year of birth? ]]</f>
        <v>35</v>
      </c>
      <c r="AH44">
        <f>2026-Table13[[#This Row],[Please indicate the year you graduated from the Faculty of Medicine]]</f>
        <v>11</v>
      </c>
      <c r="AI44">
        <f t="shared" si="1"/>
        <v>1</v>
      </c>
      <c r="AJ44">
        <f t="shared" si="2"/>
        <v>1</v>
      </c>
      <c r="AK44">
        <f t="shared" si="3"/>
        <v>0</v>
      </c>
      <c r="AL44">
        <f t="shared" si="4"/>
        <v>0</v>
      </c>
      <c r="AM44">
        <f t="shared" si="5"/>
        <v>1</v>
      </c>
      <c r="AN44">
        <f t="shared" si="6"/>
        <v>1</v>
      </c>
      <c r="AO44">
        <f t="shared" si="7"/>
        <v>1</v>
      </c>
      <c r="AP44">
        <f t="shared" si="8"/>
        <v>1</v>
      </c>
      <c r="AQ44">
        <f t="shared" si="9"/>
        <v>1</v>
      </c>
      <c r="AR44">
        <f t="shared" si="10"/>
        <v>0</v>
      </c>
      <c r="AS44">
        <f t="shared" si="11"/>
        <v>1</v>
      </c>
      <c r="AT44">
        <f t="shared" si="12"/>
        <v>0</v>
      </c>
      <c r="AU44">
        <f t="shared" si="13"/>
        <v>0</v>
      </c>
      <c r="AV44">
        <f t="shared" si="14"/>
        <v>0</v>
      </c>
      <c r="AW44">
        <f t="shared" si="15"/>
        <v>1</v>
      </c>
      <c r="AX44">
        <f t="shared" si="16"/>
        <v>9</v>
      </c>
      <c r="AY44">
        <f>IF(Table13[[#This Row],[Please choose your sex]]="Male",0,1)</f>
        <v>0</v>
      </c>
      <c r="AZ44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44">
        <f>IF(Table13[[#This Row],[Do you hold a subspecialty qualification (degree / certificate) in Reproductive Endocrinology and Infertility?
]]="No",0,1)</f>
        <v>0</v>
      </c>
      <c r="BB44">
        <f>IF(Table13[[#This Row],[Do you provide clinical care for the management of infertility?]]="No",0,1)</f>
        <v>1</v>
      </c>
      <c r="BC44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44">
        <f>IF(Table13[[#This Row],[Do you have access to evidence-based clinical guidelines at your workplace?]]="No",0,1)</f>
        <v>1</v>
      </c>
      <c r="BE44">
        <f>IF(OR(Table13[[#This Row],[What is your practice setting? (Select all that apply.)]]="University hospital ;",Table13[[#This Row],[What is your practice setting? (Select all that apply.)]]="Public hospital ;"),1,0)</f>
        <v>1</v>
      </c>
      <c r="BF44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45" spans="1:58" ht="16" x14ac:dyDescent="0.2">
      <c r="A45" s="4">
        <v>21</v>
      </c>
      <c r="B45" s="5">
        <v>46113.900567129633</v>
      </c>
      <c r="C45" s="5">
        <v>46113.903009259258</v>
      </c>
      <c r="D45" s="4" t="s">
        <v>29</v>
      </c>
      <c r="E45" s="6">
        <v>1989</v>
      </c>
      <c r="F45" s="4" t="s">
        <v>30</v>
      </c>
      <c r="G45" s="6">
        <v>2013</v>
      </c>
      <c r="H45" s="4" t="s">
        <v>45</v>
      </c>
      <c r="I45" s="4" t="s">
        <v>33</v>
      </c>
      <c r="J45" s="4" t="s">
        <v>33</v>
      </c>
      <c r="K45" s="4" t="s">
        <v>66</v>
      </c>
      <c r="L45" s="4" t="s">
        <v>43</v>
      </c>
      <c r="M45" s="4" t="s">
        <v>47</v>
      </c>
      <c r="N45" s="4" t="s">
        <v>38</v>
      </c>
      <c r="O45" s="4" t="s">
        <v>47</v>
      </c>
      <c r="P45" s="4" t="s">
        <v>38</v>
      </c>
      <c r="Q45" s="4" t="s">
        <v>37</v>
      </c>
      <c r="R45" s="4" t="s">
        <v>38</v>
      </c>
      <c r="S45" s="4" t="s">
        <v>38</v>
      </c>
      <c r="T45" s="4" t="s">
        <v>38</v>
      </c>
      <c r="U45" s="4" t="s">
        <v>37</v>
      </c>
      <c r="V45" s="4" t="s">
        <v>47</v>
      </c>
      <c r="W45" s="4" t="s">
        <v>47</v>
      </c>
      <c r="X45" s="4" t="s">
        <v>38</v>
      </c>
      <c r="Y45" s="4" t="s">
        <v>38</v>
      </c>
      <c r="Z45" s="4" t="s">
        <v>38</v>
      </c>
      <c r="AA45" s="4" t="s">
        <v>38</v>
      </c>
      <c r="AB45" s="4" t="s">
        <v>33</v>
      </c>
      <c r="AC45" s="4" t="s">
        <v>40</v>
      </c>
      <c r="AF45" s="7">
        <f>Table13[[#This Row],[Completion time]]-Table13[[#This Row],[Start time]]</f>
        <v>2.4421296257060021E-3</v>
      </c>
      <c r="AG45" s="8">
        <f>2026-Table13[[#This Row],[What is your year of birth? ]]</f>
        <v>37</v>
      </c>
      <c r="AH45">
        <f>2026-Table13[[#This Row],[Please indicate the year you graduated from the Faculty of Medicine]]</f>
        <v>13</v>
      </c>
      <c r="AI45">
        <f t="shared" si="1"/>
        <v>1</v>
      </c>
      <c r="AJ45">
        <f t="shared" si="2"/>
        <v>1</v>
      </c>
      <c r="AK45">
        <f t="shared" si="3"/>
        <v>1</v>
      </c>
      <c r="AL45">
        <f t="shared" si="4"/>
        <v>1</v>
      </c>
      <c r="AM45">
        <f t="shared" si="5"/>
        <v>1</v>
      </c>
      <c r="AN45">
        <f t="shared" si="6"/>
        <v>1</v>
      </c>
      <c r="AO45">
        <f t="shared" si="7"/>
        <v>1</v>
      </c>
      <c r="AP45">
        <f t="shared" si="8"/>
        <v>1</v>
      </c>
      <c r="AQ45">
        <f t="shared" si="9"/>
        <v>1</v>
      </c>
      <c r="AR45">
        <f t="shared" si="10"/>
        <v>1</v>
      </c>
      <c r="AS45">
        <f t="shared" si="11"/>
        <v>1</v>
      </c>
      <c r="AT45">
        <f t="shared" si="12"/>
        <v>1</v>
      </c>
      <c r="AU45">
        <f t="shared" si="13"/>
        <v>1</v>
      </c>
      <c r="AV45">
        <f t="shared" si="14"/>
        <v>1</v>
      </c>
      <c r="AW45">
        <f t="shared" si="15"/>
        <v>1</v>
      </c>
      <c r="AX45">
        <f t="shared" si="16"/>
        <v>15</v>
      </c>
      <c r="AY45">
        <f>IF(Table13[[#This Row],[Please choose your sex]]="Male",0,1)</f>
        <v>0</v>
      </c>
      <c r="AZ45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45">
        <f>IF(Table13[[#This Row],[Do you hold a subspecialty qualification (degree / certificate) in Reproductive Endocrinology and Infertility?
]]="No",0,1)</f>
        <v>1</v>
      </c>
      <c r="BB45">
        <f>IF(Table13[[#This Row],[Do you provide clinical care for the management of infertility?]]="No",0,1)</f>
        <v>1</v>
      </c>
      <c r="BC45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45">
        <f>IF(Table13[[#This Row],[Do you have access to evidence-based clinical guidelines at your workplace?]]="No",0,1)</f>
        <v>1</v>
      </c>
      <c r="BE45">
        <f>IF(OR(Table13[[#This Row],[What is your practice setting? (Select all that apply.)]]="University hospital ;",Table13[[#This Row],[What is your practice setting? (Select all that apply.)]]="Public hospital ;"),1,0)</f>
        <v>1</v>
      </c>
      <c r="BF45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46" spans="1:58" ht="16" x14ac:dyDescent="0.2">
      <c r="A46" s="4">
        <v>22</v>
      </c>
      <c r="B46" s="5">
        <v>46113.910937499997</v>
      </c>
      <c r="C46" s="5">
        <v>46113.913472222222</v>
      </c>
      <c r="D46" s="4" t="s">
        <v>29</v>
      </c>
      <c r="E46" s="6">
        <v>1974</v>
      </c>
      <c r="F46" s="4" t="s">
        <v>30</v>
      </c>
      <c r="G46" s="6">
        <v>1997</v>
      </c>
      <c r="H46" s="4" t="s">
        <v>45</v>
      </c>
      <c r="I46" s="4" t="s">
        <v>33</v>
      </c>
      <c r="J46" s="4" t="s">
        <v>33</v>
      </c>
      <c r="K46" s="4" t="s">
        <v>42</v>
      </c>
      <c r="L46" s="4" t="s">
        <v>46</v>
      </c>
      <c r="M46" s="4" t="s">
        <v>47</v>
      </c>
      <c r="N46" s="4" t="s">
        <v>38</v>
      </c>
      <c r="O46" s="4" t="s">
        <v>36</v>
      </c>
      <c r="P46" s="4" t="s">
        <v>39</v>
      </c>
      <c r="Q46" s="4" t="s">
        <v>39</v>
      </c>
      <c r="R46" s="4" t="s">
        <v>47</v>
      </c>
      <c r="S46" s="4" t="s">
        <v>47</v>
      </c>
      <c r="T46" s="4" t="s">
        <v>47</v>
      </c>
      <c r="U46" s="4" t="s">
        <v>37</v>
      </c>
      <c r="V46" s="4" t="s">
        <v>36</v>
      </c>
      <c r="W46" s="4" t="s">
        <v>36</v>
      </c>
      <c r="X46" s="4" t="s">
        <v>36</v>
      </c>
      <c r="Y46" s="4" t="s">
        <v>47</v>
      </c>
      <c r="Z46" s="4" t="s">
        <v>47</v>
      </c>
      <c r="AA46" s="4" t="s">
        <v>47</v>
      </c>
      <c r="AB46" s="4" t="s">
        <v>32</v>
      </c>
      <c r="AC46" s="4" t="s">
        <v>40</v>
      </c>
      <c r="AF46" s="7">
        <f>Table13[[#This Row],[Completion time]]-Table13[[#This Row],[Start time]]</f>
        <v>2.534722225391306E-3</v>
      </c>
      <c r="AG46" s="8">
        <f>2026-Table13[[#This Row],[What is your year of birth? ]]</f>
        <v>52</v>
      </c>
      <c r="AH46">
        <f>2026-Table13[[#This Row],[Please indicate the year you graduated from the Faculty of Medicine]]</f>
        <v>29</v>
      </c>
      <c r="AI46">
        <f t="shared" si="1"/>
        <v>1</v>
      </c>
      <c r="AJ46">
        <f t="shared" si="2"/>
        <v>1</v>
      </c>
      <c r="AK46">
        <f t="shared" si="3"/>
        <v>0</v>
      </c>
      <c r="AL46">
        <f t="shared" si="4"/>
        <v>0</v>
      </c>
      <c r="AM46">
        <f t="shared" si="5"/>
        <v>1</v>
      </c>
      <c r="AN46">
        <f t="shared" si="6"/>
        <v>1</v>
      </c>
      <c r="AO46">
        <f t="shared" si="7"/>
        <v>1</v>
      </c>
      <c r="AP46">
        <f t="shared" si="8"/>
        <v>1</v>
      </c>
      <c r="AQ46">
        <f t="shared" si="9"/>
        <v>1</v>
      </c>
      <c r="AR46">
        <f t="shared" si="10"/>
        <v>0</v>
      </c>
      <c r="AS46">
        <f t="shared" si="11"/>
        <v>0</v>
      </c>
      <c r="AT46">
        <f t="shared" si="12"/>
        <v>0</v>
      </c>
      <c r="AU46">
        <f t="shared" si="13"/>
        <v>1</v>
      </c>
      <c r="AV46">
        <f t="shared" si="14"/>
        <v>1</v>
      </c>
      <c r="AW46">
        <f t="shared" si="15"/>
        <v>1</v>
      </c>
      <c r="AX46">
        <f t="shared" si="16"/>
        <v>10</v>
      </c>
      <c r="AY46">
        <f>IF(Table13[[#This Row],[Please choose your sex]]="Male",0,1)</f>
        <v>0</v>
      </c>
      <c r="AZ46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46">
        <f>IF(Table13[[#This Row],[Do you hold a subspecialty qualification (degree / certificate) in Reproductive Endocrinology and Infertility?
]]="No",0,1)</f>
        <v>1</v>
      </c>
      <c r="BB46">
        <f>IF(Table13[[#This Row],[Do you provide clinical care for the management of infertility?]]="No",0,1)</f>
        <v>1</v>
      </c>
      <c r="BC46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46">
        <f>IF(Table13[[#This Row],[Do you have access to evidence-based clinical guidelines at your workplace?]]="No",0,1)</f>
        <v>0</v>
      </c>
      <c r="BE46">
        <f>IF(OR(Table13[[#This Row],[What is your practice setting? (Select all that apply.)]]="University hospital ;",Table13[[#This Row],[What is your practice setting? (Select all that apply.)]]="Public hospital ;"),1,0)</f>
        <v>0</v>
      </c>
      <c r="BF46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47" spans="1:58" ht="16" x14ac:dyDescent="0.2">
      <c r="A47" s="4">
        <v>24</v>
      </c>
      <c r="B47" s="5">
        <v>46114.112893518519</v>
      </c>
      <c r="C47" s="5">
        <v>46114.114907407406</v>
      </c>
      <c r="D47" s="4" t="s">
        <v>29</v>
      </c>
      <c r="E47" s="6">
        <v>1991</v>
      </c>
      <c r="F47" s="4" t="s">
        <v>30</v>
      </c>
      <c r="G47" s="6">
        <v>2014</v>
      </c>
      <c r="H47" s="4" t="s">
        <v>45</v>
      </c>
      <c r="I47" s="4" t="s">
        <v>33</v>
      </c>
      <c r="J47" s="4" t="s">
        <v>33</v>
      </c>
      <c r="K47" s="4" t="s">
        <v>66</v>
      </c>
      <c r="L47" s="4" t="s">
        <v>64</v>
      </c>
      <c r="M47" s="4" t="s">
        <v>38</v>
      </c>
      <c r="N47" s="4" t="s">
        <v>38</v>
      </c>
      <c r="O47" s="4" t="s">
        <v>38</v>
      </c>
      <c r="P47" s="4" t="s">
        <v>37</v>
      </c>
      <c r="Q47" s="4" t="s">
        <v>39</v>
      </c>
      <c r="R47" s="4" t="s">
        <v>38</v>
      </c>
      <c r="S47" s="4" t="s">
        <v>38</v>
      </c>
      <c r="T47" s="4" t="s">
        <v>38</v>
      </c>
      <c r="U47" s="4" t="s">
        <v>39</v>
      </c>
      <c r="V47" s="4" t="s">
        <v>38</v>
      </c>
      <c r="W47" s="4" t="s">
        <v>38</v>
      </c>
      <c r="X47" s="4" t="s">
        <v>36</v>
      </c>
      <c r="Y47" s="4" t="s">
        <v>38</v>
      </c>
      <c r="Z47" s="4" t="s">
        <v>39</v>
      </c>
      <c r="AA47" s="4" t="s">
        <v>38</v>
      </c>
      <c r="AB47" s="4" t="s">
        <v>33</v>
      </c>
      <c r="AC47" s="4" t="s">
        <v>55</v>
      </c>
      <c r="AF47" s="7">
        <f>Table13[[#This Row],[Completion time]]-Table13[[#This Row],[Start time]]</f>
        <v>2.0138888867222704E-3</v>
      </c>
      <c r="AG47" s="8">
        <f>2026-Table13[[#This Row],[What is your year of birth? ]]</f>
        <v>35</v>
      </c>
      <c r="AH47">
        <f>2026-Table13[[#This Row],[Please indicate the year you graduated from the Faculty of Medicine]]</f>
        <v>12</v>
      </c>
      <c r="AI47">
        <f t="shared" si="1"/>
        <v>1</v>
      </c>
      <c r="AJ47">
        <f t="shared" si="2"/>
        <v>1</v>
      </c>
      <c r="AK47">
        <f t="shared" si="3"/>
        <v>1</v>
      </c>
      <c r="AL47">
        <f t="shared" si="4"/>
        <v>0</v>
      </c>
      <c r="AM47">
        <f t="shared" si="5"/>
        <v>1</v>
      </c>
      <c r="AN47">
        <f t="shared" si="6"/>
        <v>1</v>
      </c>
      <c r="AO47">
        <f t="shared" si="7"/>
        <v>1</v>
      </c>
      <c r="AP47">
        <f t="shared" si="8"/>
        <v>1</v>
      </c>
      <c r="AQ47">
        <f t="shared" si="9"/>
        <v>1</v>
      </c>
      <c r="AR47">
        <f t="shared" si="10"/>
        <v>1</v>
      </c>
      <c r="AS47">
        <f t="shared" si="11"/>
        <v>1</v>
      </c>
      <c r="AT47">
        <f t="shared" si="12"/>
        <v>0</v>
      </c>
      <c r="AU47">
        <f t="shared" si="13"/>
        <v>1</v>
      </c>
      <c r="AV47">
        <f t="shared" si="14"/>
        <v>0</v>
      </c>
      <c r="AW47">
        <f t="shared" si="15"/>
        <v>1</v>
      </c>
      <c r="AX47">
        <f t="shared" si="16"/>
        <v>12</v>
      </c>
      <c r="AY47">
        <f>IF(Table13[[#This Row],[Please choose your sex]]="Male",0,1)</f>
        <v>0</v>
      </c>
      <c r="AZ47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47">
        <f>IF(Table13[[#This Row],[Do you hold a subspecialty qualification (degree / certificate) in Reproductive Endocrinology and Infertility?
]]="No",0,1)</f>
        <v>1</v>
      </c>
      <c r="BB47">
        <f>IF(Table13[[#This Row],[Do you provide clinical care for the management of infertility?]]="No",0,1)</f>
        <v>1</v>
      </c>
      <c r="BC47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47">
        <f>IF(Table13[[#This Row],[Do you have access to evidence-based clinical guidelines at your workplace?]]="No",0,1)</f>
        <v>1</v>
      </c>
      <c r="BE47">
        <f>IF(OR(Table13[[#This Row],[What is your practice setting? (Select all that apply.)]]="University hospital ;",Table13[[#This Row],[What is your practice setting? (Select all that apply.)]]="Public hospital ;"),1,0)</f>
        <v>0</v>
      </c>
      <c r="BF47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48" spans="1:58" ht="16" x14ac:dyDescent="0.2">
      <c r="A48" s="4">
        <v>25</v>
      </c>
      <c r="B48" s="5">
        <v>46114.477754629632</v>
      </c>
      <c r="C48" s="5">
        <v>46114.482777777775</v>
      </c>
      <c r="D48" s="4" t="s">
        <v>29</v>
      </c>
      <c r="E48" s="6">
        <v>1993</v>
      </c>
      <c r="F48" s="4" t="s">
        <v>30</v>
      </c>
      <c r="G48" s="6">
        <v>2015</v>
      </c>
      <c r="H48" s="4" t="s">
        <v>63</v>
      </c>
      <c r="I48" s="4" t="s">
        <v>32</v>
      </c>
      <c r="J48" s="4" t="s">
        <v>33</v>
      </c>
      <c r="K48" s="4" t="s">
        <v>34</v>
      </c>
      <c r="L48" s="4" t="s">
        <v>64</v>
      </c>
      <c r="M48" s="4" t="s">
        <v>47</v>
      </c>
      <c r="N48" s="4" t="s">
        <v>36</v>
      </c>
      <c r="O48" s="4" t="s">
        <v>37</v>
      </c>
      <c r="P48" s="4" t="s">
        <v>37</v>
      </c>
      <c r="Q48" s="4" t="s">
        <v>39</v>
      </c>
      <c r="R48" s="4" t="s">
        <v>37</v>
      </c>
      <c r="S48" s="4" t="s">
        <v>36</v>
      </c>
      <c r="T48" s="4" t="s">
        <v>37</v>
      </c>
      <c r="U48" s="4" t="s">
        <v>39</v>
      </c>
      <c r="V48" s="4" t="s">
        <v>36</v>
      </c>
      <c r="W48" s="4" t="s">
        <v>37</v>
      </c>
      <c r="X48" s="4" t="s">
        <v>37</v>
      </c>
      <c r="Y48" s="4" t="s">
        <v>38</v>
      </c>
      <c r="Z48" s="4" t="s">
        <v>39</v>
      </c>
      <c r="AA48" s="4" t="s">
        <v>37</v>
      </c>
      <c r="AB48" s="4" t="s">
        <v>33</v>
      </c>
      <c r="AC48" s="4" t="s">
        <v>68</v>
      </c>
      <c r="AF48" s="7">
        <f>Table13[[#This Row],[Completion time]]-Table13[[#This Row],[Start time]]</f>
        <v>5.0231481436640024E-3</v>
      </c>
      <c r="AG48" s="8">
        <f>2026-Table13[[#This Row],[What is your year of birth? ]]</f>
        <v>33</v>
      </c>
      <c r="AH48">
        <f>2026-Table13[[#This Row],[Please indicate the year you graduated from the Faculty of Medicine]]</f>
        <v>11</v>
      </c>
      <c r="AI48">
        <f t="shared" si="1"/>
        <v>1</v>
      </c>
      <c r="AJ48">
        <f t="shared" si="2"/>
        <v>0</v>
      </c>
      <c r="AK48">
        <f t="shared" si="3"/>
        <v>0</v>
      </c>
      <c r="AL48">
        <f t="shared" si="4"/>
        <v>0</v>
      </c>
      <c r="AM48">
        <f t="shared" si="5"/>
        <v>1</v>
      </c>
      <c r="AN48">
        <f t="shared" si="6"/>
        <v>0</v>
      </c>
      <c r="AO48">
        <f t="shared" si="7"/>
        <v>0</v>
      </c>
      <c r="AP48">
        <f t="shared" si="8"/>
        <v>0</v>
      </c>
      <c r="AQ48">
        <f t="shared" si="9"/>
        <v>1</v>
      </c>
      <c r="AR48">
        <f t="shared" si="10"/>
        <v>0</v>
      </c>
      <c r="AS48">
        <f t="shared" si="11"/>
        <v>0</v>
      </c>
      <c r="AT48">
        <f t="shared" si="12"/>
        <v>0</v>
      </c>
      <c r="AU48">
        <f t="shared" si="13"/>
        <v>1</v>
      </c>
      <c r="AV48">
        <f t="shared" si="14"/>
        <v>0</v>
      </c>
      <c r="AW48">
        <f t="shared" si="15"/>
        <v>0</v>
      </c>
      <c r="AX48">
        <f t="shared" si="16"/>
        <v>4</v>
      </c>
      <c r="AY48">
        <f>IF(Table13[[#This Row],[Please choose your sex]]="Male",0,1)</f>
        <v>0</v>
      </c>
      <c r="AZ48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48">
        <f>IF(Table13[[#This Row],[Do you hold a subspecialty qualification (degree / certificate) in Reproductive Endocrinology and Infertility?
]]="No",0,1)</f>
        <v>0</v>
      </c>
      <c r="BB48">
        <f>IF(Table13[[#This Row],[Do you provide clinical care for the management of infertility?]]="No",0,1)</f>
        <v>1</v>
      </c>
      <c r="BC48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48">
        <f>IF(Table13[[#This Row],[Do you have access to evidence-based clinical guidelines at your workplace?]]="No",0,1)</f>
        <v>1</v>
      </c>
      <c r="BE48">
        <f>IF(OR(Table13[[#This Row],[What is your practice setting? (Select all that apply.)]]="University hospital ;",Table13[[#This Row],[What is your practice setting? (Select all that apply.)]]="Public hospital ;"),1,0)</f>
        <v>0</v>
      </c>
      <c r="BF48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49" spans="1:58" ht="16" x14ac:dyDescent="0.2">
      <c r="A49" s="4">
        <v>26</v>
      </c>
      <c r="B49" s="5">
        <v>46114.623819444445</v>
      </c>
      <c r="C49" s="5">
        <v>46114.625011574077</v>
      </c>
      <c r="D49" s="4" t="s">
        <v>29</v>
      </c>
      <c r="E49" s="6">
        <v>1996</v>
      </c>
      <c r="F49" s="4" t="s">
        <v>30</v>
      </c>
      <c r="G49" s="6">
        <v>2020</v>
      </c>
      <c r="H49" s="4" t="s">
        <v>50</v>
      </c>
      <c r="I49" s="4" t="s">
        <v>32</v>
      </c>
      <c r="J49" s="4" t="s">
        <v>33</v>
      </c>
      <c r="K49" s="4" t="s">
        <v>34</v>
      </c>
      <c r="L49" s="4" t="s">
        <v>51</v>
      </c>
      <c r="M49" s="4" t="s">
        <v>36</v>
      </c>
      <c r="N49" s="4" t="s">
        <v>36</v>
      </c>
      <c r="O49" s="4" t="s">
        <v>36</v>
      </c>
      <c r="P49" s="4" t="s">
        <v>36</v>
      </c>
      <c r="Q49" s="4" t="s">
        <v>36</v>
      </c>
      <c r="R49" s="4" t="s">
        <v>36</v>
      </c>
      <c r="S49" s="4" t="s">
        <v>36</v>
      </c>
      <c r="T49" s="4" t="s">
        <v>38</v>
      </c>
      <c r="U49" s="4" t="s">
        <v>37</v>
      </c>
      <c r="V49" s="4" t="s">
        <v>36</v>
      </c>
      <c r="W49" s="4" t="s">
        <v>36</v>
      </c>
      <c r="X49" s="4" t="s">
        <v>36</v>
      </c>
      <c r="Y49" s="4" t="s">
        <v>36</v>
      </c>
      <c r="Z49" s="4" t="s">
        <v>36</v>
      </c>
      <c r="AA49" s="4" t="s">
        <v>36</v>
      </c>
      <c r="AB49" s="4" t="s">
        <v>33</v>
      </c>
      <c r="AC49" s="4" t="s">
        <v>40</v>
      </c>
      <c r="AF49" s="7">
        <f>Table13[[#This Row],[Completion time]]-Table13[[#This Row],[Start time]]</f>
        <v>1.1921296318178065E-3</v>
      </c>
      <c r="AG49" s="8">
        <f>2026-Table13[[#This Row],[What is your year of birth? ]]</f>
        <v>30</v>
      </c>
      <c r="AH49">
        <f>2026-Table13[[#This Row],[Please indicate the year you graduated from the Faculty of Medicine]]</f>
        <v>6</v>
      </c>
      <c r="AI49">
        <f t="shared" si="1"/>
        <v>0</v>
      </c>
      <c r="AJ49">
        <f t="shared" si="2"/>
        <v>0</v>
      </c>
      <c r="AK49">
        <f t="shared" si="3"/>
        <v>0</v>
      </c>
      <c r="AL49">
        <f t="shared" si="4"/>
        <v>0</v>
      </c>
      <c r="AM49">
        <f t="shared" si="5"/>
        <v>0</v>
      </c>
      <c r="AN49">
        <f t="shared" si="6"/>
        <v>0</v>
      </c>
      <c r="AO49">
        <f t="shared" si="7"/>
        <v>0</v>
      </c>
      <c r="AP49">
        <f t="shared" si="8"/>
        <v>1</v>
      </c>
      <c r="AQ49">
        <f t="shared" si="9"/>
        <v>1</v>
      </c>
      <c r="AR49">
        <f t="shared" si="10"/>
        <v>0</v>
      </c>
      <c r="AS49">
        <f t="shared" si="11"/>
        <v>0</v>
      </c>
      <c r="AT49">
        <f t="shared" si="12"/>
        <v>0</v>
      </c>
      <c r="AU49">
        <f t="shared" si="13"/>
        <v>0</v>
      </c>
      <c r="AV49">
        <f t="shared" si="14"/>
        <v>0</v>
      </c>
      <c r="AW49">
        <f t="shared" si="15"/>
        <v>0</v>
      </c>
      <c r="AX49">
        <f t="shared" si="16"/>
        <v>2</v>
      </c>
      <c r="AY49">
        <f>IF(Table13[[#This Row],[Please choose your sex]]="Male",0,1)</f>
        <v>0</v>
      </c>
      <c r="AZ49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49">
        <f>IF(Table13[[#This Row],[Do you hold a subspecialty qualification (degree / certificate) in Reproductive Endocrinology and Infertility?
]]="No",0,1)</f>
        <v>0</v>
      </c>
      <c r="BB49">
        <f>IF(Table13[[#This Row],[Do you provide clinical care for the management of infertility?]]="No",0,1)</f>
        <v>1</v>
      </c>
      <c r="BC49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49">
        <f>IF(Table13[[#This Row],[Do you have access to evidence-based clinical guidelines at your workplace?]]="No",0,1)</f>
        <v>1</v>
      </c>
      <c r="BE49">
        <f>IF(OR(Table13[[#This Row],[What is your practice setting? (Select all that apply.)]]="University hospital ;",Table13[[#This Row],[What is your practice setting? (Select all that apply.)]]="Public hospital ;"),1,0)</f>
        <v>0</v>
      </c>
      <c r="BF49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50" spans="1:58" ht="16" x14ac:dyDescent="0.2">
      <c r="A50" s="4">
        <v>28</v>
      </c>
      <c r="B50" s="5">
        <v>46115.603275462963</v>
      </c>
      <c r="C50" s="5">
        <v>46115.606192129628</v>
      </c>
      <c r="D50" s="4" t="s">
        <v>29</v>
      </c>
      <c r="E50" s="6">
        <v>1992</v>
      </c>
      <c r="F50" s="4" t="s">
        <v>30</v>
      </c>
      <c r="G50" s="6">
        <v>2015</v>
      </c>
      <c r="H50" s="4" t="s">
        <v>45</v>
      </c>
      <c r="I50" s="4" t="s">
        <v>32</v>
      </c>
      <c r="J50" s="4" t="s">
        <v>33</v>
      </c>
      <c r="K50" s="4" t="s">
        <v>34</v>
      </c>
      <c r="L50" s="4" t="s">
        <v>64</v>
      </c>
      <c r="M50" s="4" t="s">
        <v>38</v>
      </c>
      <c r="N50" s="4" t="s">
        <v>47</v>
      </c>
      <c r="O50" s="4" t="s">
        <v>38</v>
      </c>
      <c r="P50" s="4" t="s">
        <v>38</v>
      </c>
      <c r="Q50" s="4" t="s">
        <v>37</v>
      </c>
      <c r="R50" s="4" t="s">
        <v>38</v>
      </c>
      <c r="S50" s="4" t="s">
        <v>47</v>
      </c>
      <c r="T50" s="4" t="s">
        <v>47</v>
      </c>
      <c r="U50" s="4" t="s">
        <v>37</v>
      </c>
      <c r="V50" s="4" t="s">
        <v>38</v>
      </c>
      <c r="W50" s="4" t="s">
        <v>38</v>
      </c>
      <c r="X50" s="4" t="s">
        <v>36</v>
      </c>
      <c r="Y50" s="4" t="s">
        <v>37</v>
      </c>
      <c r="Z50" s="4" t="s">
        <v>47</v>
      </c>
      <c r="AA50" s="4" t="s">
        <v>47</v>
      </c>
      <c r="AB50" s="4" t="s">
        <v>33</v>
      </c>
      <c r="AC50" s="4" t="s">
        <v>40</v>
      </c>
      <c r="AF50" s="7">
        <f>Table13[[#This Row],[Completion time]]-Table13[[#This Row],[Start time]]</f>
        <v>2.9166666645323858E-3</v>
      </c>
      <c r="AG50" s="8">
        <f>2026-Table13[[#This Row],[What is your year of birth? ]]</f>
        <v>34</v>
      </c>
      <c r="AH50">
        <f>2026-Table13[[#This Row],[Please indicate the year you graduated from the Faculty of Medicine]]</f>
        <v>11</v>
      </c>
      <c r="AI50">
        <f t="shared" si="1"/>
        <v>1</v>
      </c>
      <c r="AJ50">
        <f t="shared" si="2"/>
        <v>1</v>
      </c>
      <c r="AK50">
        <f t="shared" si="3"/>
        <v>1</v>
      </c>
      <c r="AL50">
        <f t="shared" si="4"/>
        <v>1</v>
      </c>
      <c r="AM50">
        <f t="shared" si="5"/>
        <v>1</v>
      </c>
      <c r="AN50">
        <f t="shared" si="6"/>
        <v>1</v>
      </c>
      <c r="AO50">
        <f t="shared" si="7"/>
        <v>1</v>
      </c>
      <c r="AP50">
        <f t="shared" si="8"/>
        <v>1</v>
      </c>
      <c r="AQ50">
        <f t="shared" si="9"/>
        <v>1</v>
      </c>
      <c r="AR50">
        <f t="shared" si="10"/>
        <v>1</v>
      </c>
      <c r="AS50">
        <f t="shared" si="11"/>
        <v>1</v>
      </c>
      <c r="AT50">
        <f t="shared" si="12"/>
        <v>0</v>
      </c>
      <c r="AU50">
        <f t="shared" si="13"/>
        <v>0</v>
      </c>
      <c r="AV50">
        <f t="shared" si="14"/>
        <v>1</v>
      </c>
      <c r="AW50">
        <f t="shared" si="15"/>
        <v>1</v>
      </c>
      <c r="AX50">
        <f t="shared" si="16"/>
        <v>13</v>
      </c>
      <c r="AY50">
        <f>IF(Table13[[#This Row],[Please choose your sex]]="Male",0,1)</f>
        <v>0</v>
      </c>
      <c r="AZ50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50">
        <f>IF(Table13[[#This Row],[Do you hold a subspecialty qualification (degree / certificate) in Reproductive Endocrinology and Infertility?
]]="No",0,1)</f>
        <v>0</v>
      </c>
      <c r="BB50">
        <f>IF(Table13[[#This Row],[Do you provide clinical care for the management of infertility?]]="No",0,1)</f>
        <v>1</v>
      </c>
      <c r="BC50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50">
        <f>IF(Table13[[#This Row],[Do you have access to evidence-based clinical guidelines at your workplace?]]="No",0,1)</f>
        <v>1</v>
      </c>
      <c r="BE50">
        <f>IF(OR(Table13[[#This Row],[What is your practice setting? (Select all that apply.)]]="University hospital ;",Table13[[#This Row],[What is your practice setting? (Select all that apply.)]]="Public hospital ;"),1,0)</f>
        <v>0</v>
      </c>
      <c r="BF50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51" spans="1:58" ht="16" x14ac:dyDescent="0.2">
      <c r="A51" s="4">
        <v>29</v>
      </c>
      <c r="B51" s="5">
        <v>46115.733622685184</v>
      </c>
      <c r="C51" s="5">
        <v>46115.737708333334</v>
      </c>
      <c r="D51" s="4" t="s">
        <v>29</v>
      </c>
      <c r="E51" s="6">
        <v>1982</v>
      </c>
      <c r="F51" s="4" t="s">
        <v>44</v>
      </c>
      <c r="G51" s="6">
        <v>2006</v>
      </c>
      <c r="H51" s="4" t="s">
        <v>69</v>
      </c>
      <c r="I51" s="4" t="s">
        <v>32</v>
      </c>
      <c r="J51" s="4" t="s">
        <v>33</v>
      </c>
      <c r="K51" s="4" t="s">
        <v>66</v>
      </c>
      <c r="L51" s="4" t="s">
        <v>70</v>
      </c>
      <c r="M51" s="4" t="s">
        <v>38</v>
      </c>
      <c r="N51" s="4" t="s">
        <v>38</v>
      </c>
      <c r="O51" s="4" t="s">
        <v>38</v>
      </c>
      <c r="P51" s="4" t="s">
        <v>38</v>
      </c>
      <c r="Q51" s="4" t="s">
        <v>37</v>
      </c>
      <c r="R51" s="4" t="s">
        <v>38</v>
      </c>
      <c r="S51" s="4" t="s">
        <v>38</v>
      </c>
      <c r="T51" s="4" t="s">
        <v>38</v>
      </c>
      <c r="U51" s="4" t="s">
        <v>37</v>
      </c>
      <c r="V51" s="4" t="s">
        <v>38</v>
      </c>
      <c r="W51" s="4" t="s">
        <v>38</v>
      </c>
      <c r="X51" s="4" t="s">
        <v>38</v>
      </c>
      <c r="Y51" s="4" t="s">
        <v>36</v>
      </c>
      <c r="Z51" s="4" t="s">
        <v>38</v>
      </c>
      <c r="AA51" s="4" t="s">
        <v>38</v>
      </c>
      <c r="AB51" s="4" t="s">
        <v>33</v>
      </c>
      <c r="AC51" s="4" t="s">
        <v>40</v>
      </c>
      <c r="AF51" s="7">
        <f>Table13[[#This Row],[Completion time]]-Table13[[#This Row],[Start time]]</f>
        <v>4.0856481500668451E-3</v>
      </c>
      <c r="AG51" s="8">
        <f>2026-Table13[[#This Row],[What is your year of birth? ]]</f>
        <v>44</v>
      </c>
      <c r="AH51">
        <f>2026-Table13[[#This Row],[Please indicate the year you graduated from the Faculty of Medicine]]</f>
        <v>20</v>
      </c>
      <c r="AI51">
        <f t="shared" si="1"/>
        <v>1</v>
      </c>
      <c r="AJ51">
        <f t="shared" si="2"/>
        <v>1</v>
      </c>
      <c r="AK51">
        <f t="shared" si="3"/>
        <v>1</v>
      </c>
      <c r="AL51">
        <f t="shared" si="4"/>
        <v>1</v>
      </c>
      <c r="AM51">
        <f t="shared" si="5"/>
        <v>1</v>
      </c>
      <c r="AN51">
        <f t="shared" si="6"/>
        <v>1</v>
      </c>
      <c r="AO51">
        <f t="shared" si="7"/>
        <v>1</v>
      </c>
      <c r="AP51">
        <f t="shared" si="8"/>
        <v>1</v>
      </c>
      <c r="AQ51">
        <f t="shared" si="9"/>
        <v>1</v>
      </c>
      <c r="AR51">
        <f t="shared" si="10"/>
        <v>1</v>
      </c>
      <c r="AS51">
        <f t="shared" si="11"/>
        <v>1</v>
      </c>
      <c r="AT51">
        <f t="shared" si="12"/>
        <v>1</v>
      </c>
      <c r="AU51">
        <f t="shared" si="13"/>
        <v>0</v>
      </c>
      <c r="AV51">
        <f t="shared" si="14"/>
        <v>1</v>
      </c>
      <c r="AW51">
        <f t="shared" si="15"/>
        <v>1</v>
      </c>
      <c r="AX51">
        <f t="shared" si="16"/>
        <v>14</v>
      </c>
      <c r="AY51">
        <f>IF(Table13[[#This Row],[Please choose your sex]]="Male",0,1)</f>
        <v>1</v>
      </c>
      <c r="AZ51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51">
        <f>IF(Table13[[#This Row],[Do you hold a subspecialty qualification (degree / certificate) in Reproductive Endocrinology and Infertility?
]]="No",0,1)</f>
        <v>0</v>
      </c>
      <c r="BB51">
        <f>IF(Table13[[#This Row],[Do you provide clinical care for the management of infertility?]]="No",0,1)</f>
        <v>1</v>
      </c>
      <c r="BC51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51">
        <f>IF(Table13[[#This Row],[Do you have access to evidence-based clinical guidelines at your workplace?]]="No",0,1)</f>
        <v>1</v>
      </c>
      <c r="BE51">
        <f>IF(OR(Table13[[#This Row],[What is your practice setting? (Select all that apply.)]]="University hospital ;",Table13[[#This Row],[What is your practice setting? (Select all that apply.)]]="Public hospital ;"),1,0)</f>
        <v>1</v>
      </c>
      <c r="BF51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52" spans="1:58" ht="16" x14ac:dyDescent="0.2">
      <c r="A52" s="4">
        <v>30</v>
      </c>
      <c r="B52" s="5">
        <v>46115.750254629631</v>
      </c>
      <c r="C52" s="5">
        <v>46115.75403935185</v>
      </c>
      <c r="D52" s="4" t="s">
        <v>29</v>
      </c>
      <c r="E52" s="6">
        <v>1995</v>
      </c>
      <c r="F52" s="4" t="s">
        <v>30</v>
      </c>
      <c r="G52" s="6">
        <v>2019</v>
      </c>
      <c r="H52" s="4" t="s">
        <v>50</v>
      </c>
      <c r="I52" s="4" t="s">
        <v>32</v>
      </c>
      <c r="J52" s="4" t="s">
        <v>33</v>
      </c>
      <c r="K52" s="4" t="s">
        <v>34</v>
      </c>
      <c r="L52" s="4" t="s">
        <v>35</v>
      </c>
      <c r="M52" s="4" t="s">
        <v>38</v>
      </c>
      <c r="N52" s="4" t="s">
        <v>38</v>
      </c>
      <c r="O52" s="4" t="s">
        <v>37</v>
      </c>
      <c r="P52" s="4" t="s">
        <v>39</v>
      </c>
      <c r="Q52" s="4" t="s">
        <v>37</v>
      </c>
      <c r="R52" s="4" t="s">
        <v>37</v>
      </c>
      <c r="S52" s="4" t="s">
        <v>36</v>
      </c>
      <c r="T52" s="4" t="s">
        <v>36</v>
      </c>
      <c r="U52" s="4" t="s">
        <v>37</v>
      </c>
      <c r="V52" s="4" t="s">
        <v>38</v>
      </c>
      <c r="W52" s="4" t="s">
        <v>38</v>
      </c>
      <c r="X52" s="4" t="s">
        <v>37</v>
      </c>
      <c r="Y52" s="4" t="s">
        <v>39</v>
      </c>
      <c r="Z52" s="4" t="s">
        <v>37</v>
      </c>
      <c r="AA52" s="4" t="s">
        <v>38</v>
      </c>
      <c r="AB52" s="4" t="s">
        <v>33</v>
      </c>
      <c r="AC52" s="4" t="s">
        <v>59</v>
      </c>
      <c r="AF52" s="7">
        <f>Table13[[#This Row],[Completion time]]-Table13[[#This Row],[Start time]]</f>
        <v>3.7847222192795016E-3</v>
      </c>
      <c r="AG52" s="8">
        <f>2026-Table13[[#This Row],[What is your year of birth? ]]</f>
        <v>31</v>
      </c>
      <c r="AH52">
        <f>2026-Table13[[#This Row],[Please indicate the year you graduated from the Faculty of Medicine]]</f>
        <v>7</v>
      </c>
      <c r="AI52">
        <f t="shared" si="1"/>
        <v>1</v>
      </c>
      <c r="AJ52">
        <f t="shared" si="2"/>
        <v>1</v>
      </c>
      <c r="AK52">
        <f t="shared" si="3"/>
        <v>0</v>
      </c>
      <c r="AL52">
        <f t="shared" si="4"/>
        <v>0</v>
      </c>
      <c r="AM52">
        <f t="shared" si="5"/>
        <v>1</v>
      </c>
      <c r="AN52">
        <f t="shared" si="6"/>
        <v>0</v>
      </c>
      <c r="AO52">
        <f t="shared" si="7"/>
        <v>0</v>
      </c>
      <c r="AP52">
        <f t="shared" si="8"/>
        <v>0</v>
      </c>
      <c r="AQ52">
        <f t="shared" si="9"/>
        <v>1</v>
      </c>
      <c r="AR52">
        <f t="shared" si="10"/>
        <v>1</v>
      </c>
      <c r="AS52">
        <f t="shared" si="11"/>
        <v>1</v>
      </c>
      <c r="AT52">
        <f t="shared" si="12"/>
        <v>0</v>
      </c>
      <c r="AU52">
        <f t="shared" si="13"/>
        <v>0</v>
      </c>
      <c r="AV52">
        <f t="shared" si="14"/>
        <v>0</v>
      </c>
      <c r="AW52">
        <f t="shared" si="15"/>
        <v>1</v>
      </c>
      <c r="AX52">
        <f t="shared" si="16"/>
        <v>7</v>
      </c>
      <c r="AY52">
        <f>IF(Table13[[#This Row],[Please choose your sex]]="Male",0,1)</f>
        <v>0</v>
      </c>
      <c r="AZ52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52">
        <f>IF(Table13[[#This Row],[Do you hold a subspecialty qualification (degree / certificate) in Reproductive Endocrinology and Infertility?
]]="No",0,1)</f>
        <v>0</v>
      </c>
      <c r="BB52">
        <f>IF(Table13[[#This Row],[Do you provide clinical care for the management of infertility?]]="No",0,1)</f>
        <v>1</v>
      </c>
      <c r="BC52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52">
        <f>IF(Table13[[#This Row],[Do you have access to evidence-based clinical guidelines at your workplace?]]="No",0,1)</f>
        <v>1</v>
      </c>
      <c r="BE52">
        <f>IF(OR(Table13[[#This Row],[What is your practice setting? (Select all that apply.)]]="University hospital ;",Table13[[#This Row],[What is your practice setting? (Select all that apply.)]]="Public hospital ;"),1,0)</f>
        <v>0</v>
      </c>
      <c r="BF52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53" spans="1:58" ht="16" x14ac:dyDescent="0.2">
      <c r="A53" s="4">
        <v>31</v>
      </c>
      <c r="B53" s="5">
        <v>46115.789513888885</v>
      </c>
      <c r="C53" s="5">
        <v>46115.790462962963</v>
      </c>
      <c r="D53" s="4" t="s">
        <v>29</v>
      </c>
      <c r="E53" s="6">
        <v>1991</v>
      </c>
      <c r="F53" s="4" t="s">
        <v>44</v>
      </c>
      <c r="G53" s="6">
        <v>1991</v>
      </c>
      <c r="H53" s="4" t="s">
        <v>50</v>
      </c>
      <c r="I53" s="4" t="s">
        <v>32</v>
      </c>
      <c r="J53" s="4" t="s">
        <v>33</v>
      </c>
      <c r="K53" s="4" t="s">
        <v>66</v>
      </c>
      <c r="L53" s="4" t="s">
        <v>70</v>
      </c>
      <c r="M53" s="4" t="s">
        <v>36</v>
      </c>
      <c r="N53" s="4" t="s">
        <v>38</v>
      </c>
      <c r="O53" s="4" t="s">
        <v>37</v>
      </c>
      <c r="P53" s="4" t="s">
        <v>38</v>
      </c>
      <c r="Q53" s="4" t="s">
        <v>37</v>
      </c>
      <c r="R53" s="4" t="s">
        <v>37</v>
      </c>
      <c r="S53" s="4" t="s">
        <v>36</v>
      </c>
      <c r="T53" s="4" t="s">
        <v>36</v>
      </c>
      <c r="U53" s="4" t="s">
        <v>47</v>
      </c>
      <c r="V53" s="4" t="s">
        <v>38</v>
      </c>
      <c r="W53" s="4" t="s">
        <v>36</v>
      </c>
      <c r="X53" s="4" t="s">
        <v>36</v>
      </c>
      <c r="Y53" s="4" t="s">
        <v>38</v>
      </c>
      <c r="Z53" s="4" t="s">
        <v>38</v>
      </c>
      <c r="AA53" s="4" t="s">
        <v>38</v>
      </c>
      <c r="AB53" s="4" t="s">
        <v>33</v>
      </c>
      <c r="AC53" s="4" t="s">
        <v>71</v>
      </c>
      <c r="AF53" s="7">
        <f>Table13[[#This Row],[Completion time]]-Table13[[#This Row],[Start time]]</f>
        <v>9.490740776527673E-4</v>
      </c>
      <c r="AG53" s="8">
        <f>2026-Table13[[#This Row],[What is your year of birth? ]]</f>
        <v>35</v>
      </c>
      <c r="AH53">
        <f>2026-Table13[[#This Row],[Please indicate the year you graduated from the Faculty of Medicine]]</f>
        <v>35</v>
      </c>
      <c r="AI53">
        <f t="shared" si="1"/>
        <v>0</v>
      </c>
      <c r="AJ53">
        <f t="shared" si="2"/>
        <v>1</v>
      </c>
      <c r="AK53">
        <f t="shared" si="3"/>
        <v>0</v>
      </c>
      <c r="AL53">
        <f t="shared" si="4"/>
        <v>1</v>
      </c>
      <c r="AM53">
        <f t="shared" si="5"/>
        <v>1</v>
      </c>
      <c r="AN53">
        <f t="shared" si="6"/>
        <v>0</v>
      </c>
      <c r="AO53">
        <f t="shared" si="7"/>
        <v>0</v>
      </c>
      <c r="AP53">
        <f t="shared" si="8"/>
        <v>0</v>
      </c>
      <c r="AQ53">
        <f t="shared" si="9"/>
        <v>0</v>
      </c>
      <c r="AR53">
        <f t="shared" si="10"/>
        <v>1</v>
      </c>
      <c r="AS53">
        <f t="shared" si="11"/>
        <v>0</v>
      </c>
      <c r="AT53">
        <f t="shared" si="12"/>
        <v>0</v>
      </c>
      <c r="AU53">
        <f t="shared" si="13"/>
        <v>1</v>
      </c>
      <c r="AV53">
        <f t="shared" si="14"/>
        <v>1</v>
      </c>
      <c r="AW53">
        <f t="shared" si="15"/>
        <v>1</v>
      </c>
      <c r="AX53">
        <f t="shared" si="16"/>
        <v>7</v>
      </c>
      <c r="AY53">
        <f>IF(Table13[[#This Row],[Please choose your sex]]="Male",0,1)</f>
        <v>1</v>
      </c>
      <c r="AZ53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53">
        <f>IF(Table13[[#This Row],[Do you hold a subspecialty qualification (degree / certificate) in Reproductive Endocrinology and Infertility?
]]="No",0,1)</f>
        <v>0</v>
      </c>
      <c r="BB53">
        <f>IF(Table13[[#This Row],[Do you provide clinical care for the management of infertility?]]="No",0,1)</f>
        <v>1</v>
      </c>
      <c r="BC53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53">
        <f>IF(Table13[[#This Row],[Do you have access to evidence-based clinical guidelines at your workplace?]]="No",0,1)</f>
        <v>1</v>
      </c>
      <c r="BE53">
        <f>IF(OR(Table13[[#This Row],[What is your practice setting? (Select all that apply.)]]="University hospital ;",Table13[[#This Row],[What is your practice setting? (Select all that apply.)]]="Public hospital ;"),1,0)</f>
        <v>1</v>
      </c>
      <c r="BF53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54" spans="1:58" ht="16" x14ac:dyDescent="0.2">
      <c r="A54" s="4">
        <v>32</v>
      </c>
      <c r="B54" s="5">
        <v>46115.803657407407</v>
      </c>
      <c r="C54" s="5">
        <v>46115.805902777778</v>
      </c>
      <c r="D54" s="4" t="s">
        <v>29</v>
      </c>
      <c r="E54" s="6">
        <v>1996</v>
      </c>
      <c r="F54" s="4" t="s">
        <v>30</v>
      </c>
      <c r="G54" s="6">
        <v>1996</v>
      </c>
      <c r="H54" s="4" t="s">
        <v>50</v>
      </c>
      <c r="I54" s="4" t="s">
        <v>32</v>
      </c>
      <c r="J54" s="4" t="s">
        <v>33</v>
      </c>
      <c r="K54" s="4" t="s">
        <v>34</v>
      </c>
      <c r="L54" s="4" t="s">
        <v>43</v>
      </c>
      <c r="M54" s="4" t="s">
        <v>36</v>
      </c>
      <c r="N54" s="4" t="s">
        <v>38</v>
      </c>
      <c r="O54" s="4" t="s">
        <v>36</v>
      </c>
      <c r="P54" s="4" t="s">
        <v>36</v>
      </c>
      <c r="Q54" s="4" t="s">
        <v>37</v>
      </c>
      <c r="R54" s="4" t="s">
        <v>38</v>
      </c>
      <c r="S54" s="4" t="s">
        <v>38</v>
      </c>
      <c r="T54" s="4" t="s">
        <v>38</v>
      </c>
      <c r="U54" s="4" t="s">
        <v>37</v>
      </c>
      <c r="V54" s="4" t="s">
        <v>38</v>
      </c>
      <c r="W54" s="4" t="s">
        <v>36</v>
      </c>
      <c r="X54" s="4" t="s">
        <v>36</v>
      </c>
      <c r="Y54" s="4" t="s">
        <v>37</v>
      </c>
      <c r="Z54" s="4" t="s">
        <v>37</v>
      </c>
      <c r="AA54" s="4" t="s">
        <v>38</v>
      </c>
      <c r="AB54" s="4" t="s">
        <v>33</v>
      </c>
      <c r="AC54" s="4" t="s">
        <v>40</v>
      </c>
      <c r="AF54" s="7">
        <f>Table13[[#This Row],[Completion time]]-Table13[[#This Row],[Start time]]</f>
        <v>2.2453703713836148E-3</v>
      </c>
      <c r="AG54" s="8">
        <f>2026-Table13[[#This Row],[What is your year of birth? ]]</f>
        <v>30</v>
      </c>
      <c r="AH54">
        <f>2026-Table13[[#This Row],[Please indicate the year you graduated from the Faculty of Medicine]]</f>
        <v>30</v>
      </c>
      <c r="AI54">
        <f t="shared" si="1"/>
        <v>0</v>
      </c>
      <c r="AJ54">
        <f t="shared" si="2"/>
        <v>1</v>
      </c>
      <c r="AK54">
        <f t="shared" si="3"/>
        <v>0</v>
      </c>
      <c r="AL54">
        <f t="shared" si="4"/>
        <v>0</v>
      </c>
      <c r="AM54">
        <f t="shared" si="5"/>
        <v>1</v>
      </c>
      <c r="AN54">
        <f t="shared" si="6"/>
        <v>1</v>
      </c>
      <c r="AO54">
        <f t="shared" si="7"/>
        <v>1</v>
      </c>
      <c r="AP54">
        <f t="shared" si="8"/>
        <v>1</v>
      </c>
      <c r="AQ54">
        <f t="shared" si="9"/>
        <v>1</v>
      </c>
      <c r="AR54">
        <f t="shared" si="10"/>
        <v>1</v>
      </c>
      <c r="AS54">
        <f t="shared" si="11"/>
        <v>0</v>
      </c>
      <c r="AT54">
        <f t="shared" si="12"/>
        <v>0</v>
      </c>
      <c r="AU54">
        <f t="shared" si="13"/>
        <v>0</v>
      </c>
      <c r="AV54">
        <f t="shared" si="14"/>
        <v>0</v>
      </c>
      <c r="AW54">
        <f t="shared" si="15"/>
        <v>1</v>
      </c>
      <c r="AX54">
        <f t="shared" si="16"/>
        <v>8</v>
      </c>
      <c r="AY54">
        <f>IF(Table13[[#This Row],[Please choose your sex]]="Male",0,1)</f>
        <v>0</v>
      </c>
      <c r="AZ54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54">
        <f>IF(Table13[[#This Row],[Do you hold a subspecialty qualification (degree / certificate) in Reproductive Endocrinology and Infertility?
]]="No",0,1)</f>
        <v>0</v>
      </c>
      <c r="BB54">
        <f>IF(Table13[[#This Row],[Do you provide clinical care for the management of infertility?]]="No",0,1)</f>
        <v>1</v>
      </c>
      <c r="BC54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54">
        <f>IF(Table13[[#This Row],[Do you have access to evidence-based clinical guidelines at your workplace?]]="No",0,1)</f>
        <v>1</v>
      </c>
      <c r="BE54">
        <f>IF(OR(Table13[[#This Row],[What is your practice setting? (Select all that apply.)]]="University hospital ;",Table13[[#This Row],[What is your practice setting? (Select all that apply.)]]="Public hospital ;"),1,0)</f>
        <v>1</v>
      </c>
      <c r="BF54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55" spans="1:58" ht="16" x14ac:dyDescent="0.2">
      <c r="A55" s="4">
        <v>33</v>
      </c>
      <c r="B55" s="5">
        <v>46115.804155092592</v>
      </c>
      <c r="C55" s="5">
        <v>46115.806770833333</v>
      </c>
      <c r="D55" s="4" t="s">
        <v>29</v>
      </c>
      <c r="E55" s="6">
        <v>1995</v>
      </c>
      <c r="F55" s="4" t="s">
        <v>44</v>
      </c>
      <c r="G55" s="6">
        <v>2020</v>
      </c>
      <c r="H55" s="4" t="s">
        <v>50</v>
      </c>
      <c r="I55" s="4" t="s">
        <v>32</v>
      </c>
      <c r="J55" s="4" t="s">
        <v>33</v>
      </c>
      <c r="K55" s="4" t="s">
        <v>34</v>
      </c>
      <c r="L55" s="4" t="s">
        <v>72</v>
      </c>
      <c r="M55" s="4" t="s">
        <v>47</v>
      </c>
      <c r="N55" s="4" t="s">
        <v>47</v>
      </c>
      <c r="O55" s="4" t="s">
        <v>36</v>
      </c>
      <c r="P55" s="4" t="s">
        <v>37</v>
      </c>
      <c r="Q55" s="4" t="s">
        <v>39</v>
      </c>
      <c r="R55" s="4" t="s">
        <v>38</v>
      </c>
      <c r="S55" s="4" t="s">
        <v>47</v>
      </c>
      <c r="T55" s="4" t="s">
        <v>47</v>
      </c>
      <c r="U55" s="4" t="s">
        <v>39</v>
      </c>
      <c r="V55" s="4" t="s">
        <v>47</v>
      </c>
      <c r="W55" s="4" t="s">
        <v>38</v>
      </c>
      <c r="X55" s="4" t="s">
        <v>36</v>
      </c>
      <c r="Y55" s="4" t="s">
        <v>47</v>
      </c>
      <c r="Z55" s="4" t="s">
        <v>37</v>
      </c>
      <c r="AA55" s="4" t="s">
        <v>47</v>
      </c>
      <c r="AB55" s="4" t="s">
        <v>33</v>
      </c>
      <c r="AC55" s="4" t="s">
        <v>73</v>
      </c>
      <c r="AF55" s="7">
        <f>Table13[[#This Row],[Completion time]]-Table13[[#This Row],[Start time]]</f>
        <v>2.6157407410209998E-3</v>
      </c>
      <c r="AG55" s="8">
        <f>2026-Table13[[#This Row],[What is your year of birth? ]]</f>
        <v>31</v>
      </c>
      <c r="AH55">
        <f>2026-Table13[[#This Row],[Please indicate the year you graduated from the Faculty of Medicine]]</f>
        <v>6</v>
      </c>
      <c r="AI55">
        <f t="shared" si="1"/>
        <v>1</v>
      </c>
      <c r="AJ55">
        <f t="shared" si="2"/>
        <v>1</v>
      </c>
      <c r="AK55">
        <f t="shared" si="3"/>
        <v>0</v>
      </c>
      <c r="AL55">
        <f t="shared" si="4"/>
        <v>0</v>
      </c>
      <c r="AM55">
        <f t="shared" si="5"/>
        <v>1</v>
      </c>
      <c r="AN55">
        <f t="shared" si="6"/>
        <v>1</v>
      </c>
      <c r="AO55">
        <f t="shared" si="7"/>
        <v>1</v>
      </c>
      <c r="AP55">
        <f t="shared" si="8"/>
        <v>1</v>
      </c>
      <c r="AQ55">
        <f t="shared" si="9"/>
        <v>1</v>
      </c>
      <c r="AR55">
        <f t="shared" si="10"/>
        <v>1</v>
      </c>
      <c r="AS55">
        <f t="shared" si="11"/>
        <v>1</v>
      </c>
      <c r="AT55">
        <f t="shared" si="12"/>
        <v>0</v>
      </c>
      <c r="AU55">
        <f t="shared" si="13"/>
        <v>1</v>
      </c>
      <c r="AV55">
        <f t="shared" si="14"/>
        <v>0</v>
      </c>
      <c r="AW55">
        <f t="shared" si="15"/>
        <v>1</v>
      </c>
      <c r="AX55">
        <f t="shared" si="16"/>
        <v>11</v>
      </c>
      <c r="AY55">
        <f>IF(Table13[[#This Row],[Please choose your sex]]="Male",0,1)</f>
        <v>1</v>
      </c>
      <c r="AZ55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55">
        <f>IF(Table13[[#This Row],[Do you hold a subspecialty qualification (degree / certificate) in Reproductive Endocrinology and Infertility?
]]="No",0,1)</f>
        <v>0</v>
      </c>
      <c r="BB55">
        <f>IF(Table13[[#This Row],[Do you provide clinical care for the management of infertility?]]="No",0,1)</f>
        <v>1</v>
      </c>
      <c r="BC55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55">
        <f>IF(Table13[[#This Row],[Do you have access to evidence-based clinical guidelines at your workplace?]]="No",0,1)</f>
        <v>1</v>
      </c>
      <c r="BE55">
        <f>IF(OR(Table13[[#This Row],[What is your practice setting? (Select all that apply.)]]="University hospital ;",Table13[[#This Row],[What is your practice setting? (Select all that apply.)]]="Public hospital ;"),1,0)</f>
        <v>0</v>
      </c>
      <c r="BF55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56" spans="1:58" ht="16" x14ac:dyDescent="0.2">
      <c r="A56" s="4">
        <v>34</v>
      </c>
      <c r="B56" s="5">
        <v>46115.812777777777</v>
      </c>
      <c r="C56" s="5">
        <v>46115.815243055556</v>
      </c>
      <c r="D56" s="4" t="s">
        <v>29</v>
      </c>
      <c r="E56" s="6">
        <v>1997</v>
      </c>
      <c r="F56" s="4" t="s">
        <v>44</v>
      </c>
      <c r="G56" s="6">
        <v>2020</v>
      </c>
      <c r="H56" s="4" t="s">
        <v>50</v>
      </c>
      <c r="I56" s="4" t="s">
        <v>32</v>
      </c>
      <c r="J56" s="4" t="s">
        <v>33</v>
      </c>
      <c r="K56" s="4" t="s">
        <v>34</v>
      </c>
      <c r="L56" s="4" t="s">
        <v>64</v>
      </c>
      <c r="M56" s="4" t="s">
        <v>38</v>
      </c>
      <c r="N56" s="4" t="s">
        <v>38</v>
      </c>
      <c r="O56" s="4" t="s">
        <v>36</v>
      </c>
      <c r="P56" s="4" t="s">
        <v>37</v>
      </c>
      <c r="Q56" s="4" t="s">
        <v>37</v>
      </c>
      <c r="R56" s="4" t="s">
        <v>38</v>
      </c>
      <c r="S56" s="4" t="s">
        <v>38</v>
      </c>
      <c r="T56" s="4" t="s">
        <v>38</v>
      </c>
      <c r="U56" s="4" t="s">
        <v>36</v>
      </c>
      <c r="V56" s="4" t="s">
        <v>38</v>
      </c>
      <c r="W56" s="4" t="s">
        <v>38</v>
      </c>
      <c r="X56" s="4" t="s">
        <v>37</v>
      </c>
      <c r="Y56" s="4" t="s">
        <v>38</v>
      </c>
      <c r="Z56" s="4" t="s">
        <v>38</v>
      </c>
      <c r="AA56" s="4" t="s">
        <v>36</v>
      </c>
      <c r="AB56" s="4" t="s">
        <v>32</v>
      </c>
      <c r="AC56" s="4" t="s">
        <v>40</v>
      </c>
      <c r="AF56" s="7">
        <f>Table13[[#This Row],[Completion time]]-Table13[[#This Row],[Start time]]</f>
        <v>2.4652777792653069E-3</v>
      </c>
      <c r="AG56" s="8">
        <f>2026-Table13[[#This Row],[What is your year of birth? ]]</f>
        <v>29</v>
      </c>
      <c r="AH56">
        <f>2026-Table13[[#This Row],[Please indicate the year you graduated from the Faculty of Medicine]]</f>
        <v>6</v>
      </c>
      <c r="AI56">
        <f t="shared" si="1"/>
        <v>1</v>
      </c>
      <c r="AJ56">
        <f t="shared" si="2"/>
        <v>1</v>
      </c>
      <c r="AK56">
        <f t="shared" si="3"/>
        <v>0</v>
      </c>
      <c r="AL56">
        <f t="shared" si="4"/>
        <v>0</v>
      </c>
      <c r="AM56">
        <f t="shared" si="5"/>
        <v>1</v>
      </c>
      <c r="AN56">
        <f t="shared" si="6"/>
        <v>1</v>
      </c>
      <c r="AO56">
        <f t="shared" si="7"/>
        <v>1</v>
      </c>
      <c r="AP56">
        <f t="shared" si="8"/>
        <v>1</v>
      </c>
      <c r="AQ56">
        <f t="shared" si="9"/>
        <v>0</v>
      </c>
      <c r="AR56">
        <f t="shared" si="10"/>
        <v>1</v>
      </c>
      <c r="AS56">
        <f t="shared" si="11"/>
        <v>1</v>
      </c>
      <c r="AT56">
        <f t="shared" si="12"/>
        <v>0</v>
      </c>
      <c r="AU56">
        <f t="shared" si="13"/>
        <v>1</v>
      </c>
      <c r="AV56">
        <f t="shared" si="14"/>
        <v>1</v>
      </c>
      <c r="AW56">
        <f t="shared" si="15"/>
        <v>0</v>
      </c>
      <c r="AX56">
        <f t="shared" si="16"/>
        <v>10</v>
      </c>
      <c r="AY56">
        <f>IF(Table13[[#This Row],[Please choose your sex]]="Male",0,1)</f>
        <v>1</v>
      </c>
      <c r="AZ56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56">
        <f>IF(Table13[[#This Row],[Do you hold a subspecialty qualification (degree / certificate) in Reproductive Endocrinology and Infertility?
]]="No",0,1)</f>
        <v>0</v>
      </c>
      <c r="BB56">
        <f>IF(Table13[[#This Row],[Do you provide clinical care for the management of infertility?]]="No",0,1)</f>
        <v>1</v>
      </c>
      <c r="BC56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56">
        <f>IF(Table13[[#This Row],[Do you have access to evidence-based clinical guidelines at your workplace?]]="No",0,1)</f>
        <v>0</v>
      </c>
      <c r="BE56">
        <f>IF(OR(Table13[[#This Row],[What is your practice setting? (Select all that apply.)]]="University hospital ;",Table13[[#This Row],[What is your practice setting? (Select all that apply.)]]="Public hospital ;"),1,0)</f>
        <v>0</v>
      </c>
      <c r="BF56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57" spans="1:58" ht="16" x14ac:dyDescent="0.2">
      <c r="A57" s="4">
        <v>35</v>
      </c>
      <c r="B57" s="5">
        <v>46115.819918981484</v>
      </c>
      <c r="C57" s="5">
        <v>46115.821608796294</v>
      </c>
      <c r="D57" s="4" t="s">
        <v>29</v>
      </c>
      <c r="E57" s="6">
        <v>1984</v>
      </c>
      <c r="F57" s="4" t="s">
        <v>30</v>
      </c>
      <c r="G57" s="6">
        <v>2008</v>
      </c>
      <c r="H57" s="4" t="s">
        <v>45</v>
      </c>
      <c r="I57" s="4" t="s">
        <v>32</v>
      </c>
      <c r="J57" s="4" t="s">
        <v>33</v>
      </c>
      <c r="K57" s="4" t="s">
        <v>34</v>
      </c>
      <c r="L57" s="4" t="s">
        <v>43</v>
      </c>
      <c r="M57" s="4" t="s">
        <v>37</v>
      </c>
      <c r="N57" s="4" t="s">
        <v>36</v>
      </c>
      <c r="O57" s="4" t="s">
        <v>36</v>
      </c>
      <c r="P57" s="4" t="s">
        <v>37</v>
      </c>
      <c r="Q57" s="4" t="s">
        <v>39</v>
      </c>
      <c r="R57" s="4" t="s">
        <v>38</v>
      </c>
      <c r="S57" s="4" t="s">
        <v>38</v>
      </c>
      <c r="T57" s="4" t="s">
        <v>38</v>
      </c>
      <c r="U57" s="4" t="s">
        <v>39</v>
      </c>
      <c r="V57" s="4" t="s">
        <v>36</v>
      </c>
      <c r="W57" s="4" t="s">
        <v>36</v>
      </c>
      <c r="X57" s="4" t="s">
        <v>37</v>
      </c>
      <c r="Y57" s="4" t="s">
        <v>38</v>
      </c>
      <c r="Z57" s="4" t="s">
        <v>37</v>
      </c>
      <c r="AA57" s="4" t="s">
        <v>38</v>
      </c>
      <c r="AB57" s="4" t="s">
        <v>33</v>
      </c>
      <c r="AC57" s="4" t="s">
        <v>40</v>
      </c>
      <c r="AF57" s="7">
        <f>Table13[[#This Row],[Completion time]]-Table13[[#This Row],[Start time]]</f>
        <v>1.6898148096515797E-3</v>
      </c>
      <c r="AG57" s="8">
        <f>2026-Table13[[#This Row],[What is your year of birth? ]]</f>
        <v>42</v>
      </c>
      <c r="AH57">
        <f>2026-Table13[[#This Row],[Please indicate the year you graduated from the Faculty of Medicine]]</f>
        <v>18</v>
      </c>
      <c r="AI57">
        <f t="shared" si="1"/>
        <v>0</v>
      </c>
      <c r="AJ57">
        <f t="shared" si="2"/>
        <v>0</v>
      </c>
      <c r="AK57">
        <f t="shared" si="3"/>
        <v>0</v>
      </c>
      <c r="AL57">
        <f t="shared" si="4"/>
        <v>0</v>
      </c>
      <c r="AM57">
        <f t="shared" si="5"/>
        <v>1</v>
      </c>
      <c r="AN57">
        <f t="shared" si="6"/>
        <v>1</v>
      </c>
      <c r="AO57">
        <f t="shared" si="7"/>
        <v>1</v>
      </c>
      <c r="AP57">
        <f t="shared" si="8"/>
        <v>1</v>
      </c>
      <c r="AQ57">
        <f t="shared" si="9"/>
        <v>1</v>
      </c>
      <c r="AR57">
        <f t="shared" si="10"/>
        <v>0</v>
      </c>
      <c r="AS57">
        <f t="shared" si="11"/>
        <v>0</v>
      </c>
      <c r="AT57">
        <f t="shared" si="12"/>
        <v>0</v>
      </c>
      <c r="AU57">
        <f t="shared" si="13"/>
        <v>1</v>
      </c>
      <c r="AV57">
        <f t="shared" si="14"/>
        <v>0</v>
      </c>
      <c r="AW57">
        <f t="shared" si="15"/>
        <v>1</v>
      </c>
      <c r="AX57">
        <f t="shared" si="16"/>
        <v>7</v>
      </c>
      <c r="AY57">
        <f>IF(Table13[[#This Row],[Please choose your sex]]="Male",0,1)</f>
        <v>0</v>
      </c>
      <c r="AZ57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57">
        <f>IF(Table13[[#This Row],[Do you hold a subspecialty qualification (degree / certificate) in Reproductive Endocrinology and Infertility?
]]="No",0,1)</f>
        <v>0</v>
      </c>
      <c r="BB57">
        <f>IF(Table13[[#This Row],[Do you provide clinical care for the management of infertility?]]="No",0,1)</f>
        <v>1</v>
      </c>
      <c r="BC57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57">
        <f>IF(Table13[[#This Row],[Do you have access to evidence-based clinical guidelines at your workplace?]]="No",0,1)</f>
        <v>1</v>
      </c>
      <c r="BE57">
        <f>IF(OR(Table13[[#This Row],[What is your practice setting? (Select all that apply.)]]="University hospital ;",Table13[[#This Row],[What is your practice setting? (Select all that apply.)]]="Public hospital ;"),1,0)</f>
        <v>1</v>
      </c>
      <c r="BF57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58" spans="1:58" ht="16" x14ac:dyDescent="0.2">
      <c r="A58" s="4">
        <v>37</v>
      </c>
      <c r="B58" s="5">
        <v>46115.831145833334</v>
      </c>
      <c r="C58" s="5">
        <v>46115.836655092593</v>
      </c>
      <c r="D58" s="4" t="s">
        <v>29</v>
      </c>
      <c r="E58" s="6">
        <v>1996</v>
      </c>
      <c r="F58" s="4" t="s">
        <v>30</v>
      </c>
      <c r="G58" s="6">
        <v>2020</v>
      </c>
      <c r="H58" s="4" t="s">
        <v>50</v>
      </c>
      <c r="I58" s="4" t="s">
        <v>32</v>
      </c>
      <c r="J58" s="4" t="s">
        <v>33</v>
      </c>
      <c r="K58" s="4" t="s">
        <v>34</v>
      </c>
      <c r="L58" s="4" t="s">
        <v>74</v>
      </c>
      <c r="M58" s="4" t="s">
        <v>47</v>
      </c>
      <c r="N58" s="4" t="s">
        <v>36</v>
      </c>
      <c r="O58" s="4" t="s">
        <v>38</v>
      </c>
      <c r="P58" s="4" t="s">
        <v>38</v>
      </c>
      <c r="Q58" s="4" t="s">
        <v>39</v>
      </c>
      <c r="R58" s="4" t="s">
        <v>47</v>
      </c>
      <c r="S58" s="4" t="s">
        <v>47</v>
      </c>
      <c r="T58" s="4" t="s">
        <v>47</v>
      </c>
      <c r="U58" s="4" t="s">
        <v>39</v>
      </c>
      <c r="V58" s="4" t="s">
        <v>47</v>
      </c>
      <c r="W58" s="4" t="s">
        <v>36</v>
      </c>
      <c r="X58" s="4" t="s">
        <v>38</v>
      </c>
      <c r="Y58" s="4" t="s">
        <v>37</v>
      </c>
      <c r="Z58" s="4" t="s">
        <v>38</v>
      </c>
      <c r="AA58" s="4" t="s">
        <v>47</v>
      </c>
      <c r="AB58" s="4" t="s">
        <v>32</v>
      </c>
      <c r="AC58" s="4" t="s">
        <v>68</v>
      </c>
      <c r="AF58" s="7">
        <f>Table13[[#This Row],[Completion time]]-Table13[[#This Row],[Start time]]</f>
        <v>5.5092592592700385E-3</v>
      </c>
      <c r="AG58" s="8">
        <f>2026-Table13[[#This Row],[What is your year of birth? ]]</f>
        <v>30</v>
      </c>
      <c r="AH58">
        <f>2026-Table13[[#This Row],[Please indicate the year you graduated from the Faculty of Medicine]]</f>
        <v>6</v>
      </c>
      <c r="AI58">
        <f t="shared" si="1"/>
        <v>1</v>
      </c>
      <c r="AJ58">
        <f t="shared" si="2"/>
        <v>0</v>
      </c>
      <c r="AK58">
        <f t="shared" si="3"/>
        <v>1</v>
      </c>
      <c r="AL58">
        <f t="shared" si="4"/>
        <v>1</v>
      </c>
      <c r="AM58">
        <f t="shared" si="5"/>
        <v>1</v>
      </c>
      <c r="AN58">
        <f t="shared" si="6"/>
        <v>1</v>
      </c>
      <c r="AO58">
        <f t="shared" si="7"/>
        <v>1</v>
      </c>
      <c r="AP58">
        <f t="shared" si="8"/>
        <v>1</v>
      </c>
      <c r="AQ58">
        <f t="shared" si="9"/>
        <v>1</v>
      </c>
      <c r="AR58">
        <f t="shared" si="10"/>
        <v>1</v>
      </c>
      <c r="AS58">
        <f t="shared" si="11"/>
        <v>0</v>
      </c>
      <c r="AT58">
        <f t="shared" si="12"/>
        <v>1</v>
      </c>
      <c r="AU58">
        <f t="shared" si="13"/>
        <v>0</v>
      </c>
      <c r="AV58">
        <f t="shared" si="14"/>
        <v>1</v>
      </c>
      <c r="AW58">
        <f t="shared" si="15"/>
        <v>1</v>
      </c>
      <c r="AX58">
        <f t="shared" si="16"/>
        <v>12</v>
      </c>
      <c r="AY58">
        <f>IF(Table13[[#This Row],[Please choose your sex]]="Male",0,1)</f>
        <v>0</v>
      </c>
      <c r="AZ58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58">
        <f>IF(Table13[[#This Row],[Do you hold a subspecialty qualification (degree / certificate) in Reproductive Endocrinology and Infertility?
]]="No",0,1)</f>
        <v>0</v>
      </c>
      <c r="BB58">
        <f>IF(Table13[[#This Row],[Do you provide clinical care for the management of infertility?]]="No",0,1)</f>
        <v>1</v>
      </c>
      <c r="BC58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58">
        <f>IF(Table13[[#This Row],[Do you have access to evidence-based clinical guidelines at your workplace?]]="No",0,1)</f>
        <v>0</v>
      </c>
      <c r="BE58">
        <f>IF(OR(Table13[[#This Row],[What is your practice setting? (Select all that apply.)]]="University hospital ;",Table13[[#This Row],[What is your practice setting? (Select all that apply.)]]="Public hospital ;"),1,0)</f>
        <v>0</v>
      </c>
      <c r="BF58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59" spans="1:58" ht="16" x14ac:dyDescent="0.2">
      <c r="A59" s="4">
        <v>38</v>
      </c>
      <c r="B59" s="5">
        <v>46115.853692129633</v>
      </c>
      <c r="C59" s="5">
        <v>46115.858206018522</v>
      </c>
      <c r="D59" s="4" t="s">
        <v>29</v>
      </c>
      <c r="E59" s="6">
        <v>1976</v>
      </c>
      <c r="F59" s="4" t="s">
        <v>30</v>
      </c>
      <c r="G59" s="6">
        <v>2020</v>
      </c>
      <c r="H59" s="4" t="s">
        <v>45</v>
      </c>
      <c r="I59" s="4" t="s">
        <v>32</v>
      </c>
      <c r="J59" s="4" t="s">
        <v>33</v>
      </c>
      <c r="K59" s="4" t="s">
        <v>42</v>
      </c>
      <c r="L59" s="4" t="s">
        <v>72</v>
      </c>
      <c r="M59" s="4" t="s">
        <v>47</v>
      </c>
      <c r="N59" s="4" t="s">
        <v>47</v>
      </c>
      <c r="O59" s="4" t="s">
        <v>47</v>
      </c>
      <c r="P59" s="4" t="s">
        <v>38</v>
      </c>
      <c r="Q59" s="4" t="s">
        <v>39</v>
      </c>
      <c r="R59" s="4" t="s">
        <v>38</v>
      </c>
      <c r="S59" s="4" t="s">
        <v>47</v>
      </c>
      <c r="T59" s="4" t="s">
        <v>38</v>
      </c>
      <c r="U59" s="4" t="s">
        <v>37</v>
      </c>
      <c r="V59" s="4" t="s">
        <v>47</v>
      </c>
      <c r="W59" s="4" t="s">
        <v>47</v>
      </c>
      <c r="X59" s="4" t="s">
        <v>47</v>
      </c>
      <c r="Y59" s="4" t="s">
        <v>38</v>
      </c>
      <c r="Z59" s="4" t="s">
        <v>37</v>
      </c>
      <c r="AA59" s="4" t="s">
        <v>47</v>
      </c>
      <c r="AB59" s="4" t="s">
        <v>33</v>
      </c>
      <c r="AC59" s="4" t="s">
        <v>40</v>
      </c>
      <c r="AF59" s="7">
        <f>Table13[[#This Row],[Completion time]]-Table13[[#This Row],[Start time]]</f>
        <v>4.5138888890505768E-3</v>
      </c>
      <c r="AG59" s="8">
        <f>2026-Table13[[#This Row],[What is your year of birth? ]]</f>
        <v>50</v>
      </c>
      <c r="AH59">
        <f>2026-Table13[[#This Row],[Please indicate the year you graduated from the Faculty of Medicine]]</f>
        <v>6</v>
      </c>
      <c r="AI59">
        <f t="shared" si="1"/>
        <v>1</v>
      </c>
      <c r="AJ59">
        <f t="shared" si="2"/>
        <v>1</v>
      </c>
      <c r="AK59">
        <f t="shared" si="3"/>
        <v>1</v>
      </c>
      <c r="AL59">
        <f t="shared" si="4"/>
        <v>1</v>
      </c>
      <c r="AM59">
        <f t="shared" si="5"/>
        <v>1</v>
      </c>
      <c r="AN59">
        <f t="shared" si="6"/>
        <v>1</v>
      </c>
      <c r="AO59">
        <f t="shared" si="7"/>
        <v>1</v>
      </c>
      <c r="AP59">
        <f t="shared" si="8"/>
        <v>1</v>
      </c>
      <c r="AQ59">
        <f t="shared" si="9"/>
        <v>1</v>
      </c>
      <c r="AR59">
        <f t="shared" si="10"/>
        <v>1</v>
      </c>
      <c r="AS59">
        <f t="shared" si="11"/>
        <v>1</v>
      </c>
      <c r="AT59">
        <f t="shared" si="12"/>
        <v>1</v>
      </c>
      <c r="AU59">
        <f t="shared" si="13"/>
        <v>1</v>
      </c>
      <c r="AV59">
        <f t="shared" si="14"/>
        <v>0</v>
      </c>
      <c r="AW59">
        <f t="shared" si="15"/>
        <v>1</v>
      </c>
      <c r="AX59">
        <f t="shared" si="16"/>
        <v>14</v>
      </c>
      <c r="AY59">
        <f>IF(Table13[[#This Row],[Please choose your sex]]="Male",0,1)</f>
        <v>0</v>
      </c>
      <c r="AZ59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59">
        <f>IF(Table13[[#This Row],[Do you hold a subspecialty qualification (degree / certificate) in Reproductive Endocrinology and Infertility?
]]="No",0,1)</f>
        <v>0</v>
      </c>
      <c r="BB59">
        <f>IF(Table13[[#This Row],[Do you provide clinical care for the management of infertility?]]="No",0,1)</f>
        <v>1</v>
      </c>
      <c r="BC59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59">
        <f>IF(Table13[[#This Row],[Do you have access to evidence-based clinical guidelines at your workplace?]]="No",0,1)</f>
        <v>1</v>
      </c>
      <c r="BE59">
        <f>IF(OR(Table13[[#This Row],[What is your practice setting? (Select all that apply.)]]="University hospital ;",Table13[[#This Row],[What is your practice setting? (Select all that apply.)]]="Public hospital ;"),1,0)</f>
        <v>0</v>
      </c>
      <c r="BF59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60" spans="1:58" ht="16" x14ac:dyDescent="0.2">
      <c r="A60" s="4">
        <v>39</v>
      </c>
      <c r="B60" s="5">
        <v>46115.881666666668</v>
      </c>
      <c r="C60" s="5">
        <v>46115.887303240743</v>
      </c>
      <c r="D60" s="4" t="s">
        <v>29</v>
      </c>
      <c r="E60" s="6">
        <v>1986</v>
      </c>
      <c r="F60" s="4" t="s">
        <v>44</v>
      </c>
      <c r="G60" s="6">
        <v>2010</v>
      </c>
      <c r="H60" s="4" t="s">
        <v>75</v>
      </c>
      <c r="I60" s="4" t="s">
        <v>33</v>
      </c>
      <c r="J60" s="4" t="s">
        <v>33</v>
      </c>
      <c r="K60" s="4" t="s">
        <v>34</v>
      </c>
      <c r="L60" s="4" t="s">
        <v>76</v>
      </c>
      <c r="M60" s="4" t="s">
        <v>47</v>
      </c>
      <c r="N60" s="4" t="s">
        <v>38</v>
      </c>
      <c r="O60" s="4" t="s">
        <v>36</v>
      </c>
      <c r="P60" s="4" t="s">
        <v>37</v>
      </c>
      <c r="Q60" s="4" t="s">
        <v>37</v>
      </c>
      <c r="R60" s="4" t="s">
        <v>38</v>
      </c>
      <c r="S60" s="4" t="s">
        <v>38</v>
      </c>
      <c r="T60" s="4" t="s">
        <v>37</v>
      </c>
      <c r="U60" s="4" t="s">
        <v>47</v>
      </c>
      <c r="V60" s="4" t="s">
        <v>36</v>
      </c>
      <c r="W60" s="4" t="s">
        <v>47</v>
      </c>
      <c r="X60" s="4" t="s">
        <v>36</v>
      </c>
      <c r="Y60" s="4" t="s">
        <v>37</v>
      </c>
      <c r="Z60" s="4" t="s">
        <v>38</v>
      </c>
      <c r="AA60" s="4" t="s">
        <v>47</v>
      </c>
      <c r="AB60" s="4" t="s">
        <v>33</v>
      </c>
      <c r="AC60" s="4" t="s">
        <v>40</v>
      </c>
      <c r="AF60" s="7">
        <f>Table13[[#This Row],[Completion time]]-Table13[[#This Row],[Start time]]</f>
        <v>5.6365740747423843E-3</v>
      </c>
      <c r="AG60" s="8">
        <f>2026-Table13[[#This Row],[What is your year of birth? ]]</f>
        <v>40</v>
      </c>
      <c r="AH60">
        <f>2026-Table13[[#This Row],[Please indicate the year you graduated from the Faculty of Medicine]]</f>
        <v>16</v>
      </c>
      <c r="AI60">
        <f t="shared" si="1"/>
        <v>1</v>
      </c>
      <c r="AJ60">
        <f t="shared" si="2"/>
        <v>1</v>
      </c>
      <c r="AK60">
        <f t="shared" si="3"/>
        <v>0</v>
      </c>
      <c r="AL60">
        <f t="shared" si="4"/>
        <v>0</v>
      </c>
      <c r="AM60">
        <f t="shared" si="5"/>
        <v>1</v>
      </c>
      <c r="AN60">
        <f t="shared" si="6"/>
        <v>1</v>
      </c>
      <c r="AO60">
        <f t="shared" si="7"/>
        <v>1</v>
      </c>
      <c r="AP60">
        <f t="shared" si="8"/>
        <v>0</v>
      </c>
      <c r="AQ60">
        <f t="shared" si="9"/>
        <v>0</v>
      </c>
      <c r="AR60">
        <f t="shared" si="10"/>
        <v>0</v>
      </c>
      <c r="AS60">
        <f t="shared" si="11"/>
        <v>1</v>
      </c>
      <c r="AT60">
        <f t="shared" si="12"/>
        <v>0</v>
      </c>
      <c r="AU60">
        <f t="shared" si="13"/>
        <v>0</v>
      </c>
      <c r="AV60">
        <f t="shared" si="14"/>
        <v>1</v>
      </c>
      <c r="AW60">
        <f t="shared" si="15"/>
        <v>1</v>
      </c>
      <c r="AX60">
        <f t="shared" si="16"/>
        <v>8</v>
      </c>
      <c r="AY60">
        <f>IF(Table13[[#This Row],[Please choose your sex]]="Male",0,1)</f>
        <v>1</v>
      </c>
      <c r="AZ60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60">
        <f>IF(Table13[[#This Row],[Do you hold a subspecialty qualification (degree / certificate) in Reproductive Endocrinology and Infertility?
]]="No",0,1)</f>
        <v>1</v>
      </c>
      <c r="BB60">
        <f>IF(Table13[[#This Row],[Do you provide clinical care for the management of infertility?]]="No",0,1)</f>
        <v>1</v>
      </c>
      <c r="BC60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60">
        <f>IF(Table13[[#This Row],[Do you have access to evidence-based clinical guidelines at your workplace?]]="No",0,1)</f>
        <v>1</v>
      </c>
      <c r="BE60">
        <f>IF(OR(Table13[[#This Row],[What is your practice setting? (Select all that apply.)]]="University hospital ;",Table13[[#This Row],[What is your practice setting? (Select all that apply.)]]="Public hospital ;"),1,0)</f>
        <v>0</v>
      </c>
      <c r="BF60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61" spans="1:58" ht="16" x14ac:dyDescent="0.2">
      <c r="A61" s="4">
        <v>40</v>
      </c>
      <c r="B61" s="5">
        <v>46116.49422453704</v>
      </c>
      <c r="C61" s="5">
        <v>46116.497361111113</v>
      </c>
      <c r="D61" s="4" t="s">
        <v>29</v>
      </c>
      <c r="E61" s="6">
        <v>1993</v>
      </c>
      <c r="F61" s="4" t="s">
        <v>30</v>
      </c>
      <c r="G61" s="6">
        <v>2017</v>
      </c>
      <c r="H61" s="4" t="s">
        <v>50</v>
      </c>
      <c r="I61" s="4" t="s">
        <v>33</v>
      </c>
      <c r="J61" s="4" t="s">
        <v>33</v>
      </c>
      <c r="K61" s="4" t="s">
        <v>34</v>
      </c>
      <c r="L61" s="4" t="s">
        <v>62</v>
      </c>
      <c r="M61" s="4" t="s">
        <v>47</v>
      </c>
      <c r="N61" s="4" t="s">
        <v>37</v>
      </c>
      <c r="O61" s="4" t="s">
        <v>47</v>
      </c>
      <c r="P61" s="4" t="s">
        <v>37</v>
      </c>
      <c r="Q61" s="4" t="s">
        <v>39</v>
      </c>
      <c r="R61" s="4" t="s">
        <v>47</v>
      </c>
      <c r="S61" s="4" t="s">
        <v>47</v>
      </c>
      <c r="T61" s="4" t="s">
        <v>47</v>
      </c>
      <c r="U61" s="4" t="s">
        <v>39</v>
      </c>
      <c r="V61" s="4" t="s">
        <v>47</v>
      </c>
      <c r="W61" s="4" t="s">
        <v>47</v>
      </c>
      <c r="X61" s="4" t="s">
        <v>47</v>
      </c>
      <c r="Y61" s="4" t="s">
        <v>47</v>
      </c>
      <c r="Z61" s="4" t="s">
        <v>47</v>
      </c>
      <c r="AA61" s="4" t="s">
        <v>47</v>
      </c>
      <c r="AB61" s="4" t="s">
        <v>33</v>
      </c>
      <c r="AC61" s="4" t="s">
        <v>40</v>
      </c>
      <c r="AF61" s="7">
        <f>Table13[[#This Row],[Completion time]]-Table13[[#This Row],[Start time]]</f>
        <v>3.1365740724140778E-3</v>
      </c>
      <c r="AG61" s="8">
        <f>2026-Table13[[#This Row],[What is your year of birth? ]]</f>
        <v>33</v>
      </c>
      <c r="AH61">
        <f>2026-Table13[[#This Row],[Please indicate the year you graduated from the Faculty of Medicine]]</f>
        <v>9</v>
      </c>
      <c r="AI61">
        <f t="shared" si="1"/>
        <v>1</v>
      </c>
      <c r="AJ61">
        <f t="shared" si="2"/>
        <v>0</v>
      </c>
      <c r="AK61">
        <f t="shared" si="3"/>
        <v>1</v>
      </c>
      <c r="AL61">
        <f t="shared" si="4"/>
        <v>0</v>
      </c>
      <c r="AM61">
        <f t="shared" si="5"/>
        <v>1</v>
      </c>
      <c r="AN61">
        <f t="shared" si="6"/>
        <v>1</v>
      </c>
      <c r="AO61">
        <f t="shared" si="7"/>
        <v>1</v>
      </c>
      <c r="AP61">
        <f t="shared" si="8"/>
        <v>1</v>
      </c>
      <c r="AQ61">
        <f t="shared" si="9"/>
        <v>1</v>
      </c>
      <c r="AR61">
        <f t="shared" si="10"/>
        <v>1</v>
      </c>
      <c r="AS61">
        <f t="shared" si="11"/>
        <v>1</v>
      </c>
      <c r="AT61">
        <f t="shared" si="12"/>
        <v>1</v>
      </c>
      <c r="AU61">
        <f t="shared" si="13"/>
        <v>1</v>
      </c>
      <c r="AV61">
        <f t="shared" si="14"/>
        <v>1</v>
      </c>
      <c r="AW61">
        <f t="shared" si="15"/>
        <v>1</v>
      </c>
      <c r="AX61">
        <f t="shared" si="16"/>
        <v>13</v>
      </c>
      <c r="AY61">
        <f>IF(Table13[[#This Row],[Please choose your sex]]="Male",0,1)</f>
        <v>0</v>
      </c>
      <c r="AZ61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61">
        <f>IF(Table13[[#This Row],[Do you hold a subspecialty qualification (degree / certificate) in Reproductive Endocrinology and Infertility?
]]="No",0,1)</f>
        <v>1</v>
      </c>
      <c r="BB61">
        <f>IF(Table13[[#This Row],[Do you provide clinical care for the management of infertility?]]="No",0,1)</f>
        <v>1</v>
      </c>
      <c r="BC61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61">
        <f>IF(Table13[[#This Row],[Do you have access to evidence-based clinical guidelines at your workplace?]]="No",0,1)</f>
        <v>1</v>
      </c>
      <c r="BE61">
        <f>IF(OR(Table13[[#This Row],[What is your practice setting? (Select all that apply.)]]="University hospital ;",Table13[[#This Row],[What is your practice setting? (Select all that apply.)]]="Public hospital ;"),1,0)</f>
        <v>0</v>
      </c>
      <c r="BF61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62" spans="1:58" ht="16" x14ac:dyDescent="0.2">
      <c r="A62" s="4">
        <v>41</v>
      </c>
      <c r="B62" s="5">
        <v>46116.622164351851</v>
      </c>
      <c r="C62" s="5">
        <v>46116.629618055558</v>
      </c>
      <c r="D62" s="4" t="s">
        <v>29</v>
      </c>
      <c r="E62" s="6">
        <v>1980</v>
      </c>
      <c r="F62" s="4" t="s">
        <v>44</v>
      </c>
      <c r="G62" s="6">
        <v>2002</v>
      </c>
      <c r="H62" s="4" t="s">
        <v>45</v>
      </c>
      <c r="I62" s="4" t="s">
        <v>32</v>
      </c>
      <c r="J62" s="4" t="s">
        <v>33</v>
      </c>
      <c r="K62" s="4" t="s">
        <v>42</v>
      </c>
      <c r="L62" s="4" t="s">
        <v>72</v>
      </c>
      <c r="M62" s="4" t="s">
        <v>47</v>
      </c>
      <c r="N62" s="4" t="s">
        <v>36</v>
      </c>
      <c r="O62" s="4" t="s">
        <v>36</v>
      </c>
      <c r="P62" s="4" t="s">
        <v>36</v>
      </c>
      <c r="Q62" s="4" t="s">
        <v>37</v>
      </c>
      <c r="R62" s="4" t="s">
        <v>37</v>
      </c>
      <c r="S62" s="4" t="s">
        <v>36</v>
      </c>
      <c r="T62" s="4" t="s">
        <v>37</v>
      </c>
      <c r="U62" s="4" t="s">
        <v>37</v>
      </c>
      <c r="V62" s="4" t="s">
        <v>38</v>
      </c>
      <c r="W62" s="4" t="s">
        <v>36</v>
      </c>
      <c r="X62" s="4" t="s">
        <v>36</v>
      </c>
      <c r="Y62" s="4" t="s">
        <v>38</v>
      </c>
      <c r="Z62" s="4" t="s">
        <v>37</v>
      </c>
      <c r="AA62" s="4" t="s">
        <v>36</v>
      </c>
      <c r="AB62" s="4" t="s">
        <v>32</v>
      </c>
      <c r="AC62" s="4" t="s">
        <v>40</v>
      </c>
      <c r="AF62" s="7">
        <f>Table13[[#This Row],[Completion time]]-Table13[[#This Row],[Start time]]</f>
        <v>7.4537037071422674E-3</v>
      </c>
      <c r="AG62" s="8">
        <f>2026-Table13[[#This Row],[What is your year of birth? ]]</f>
        <v>46</v>
      </c>
      <c r="AH62">
        <f>2026-Table13[[#This Row],[Please indicate the year you graduated from the Faculty of Medicine]]</f>
        <v>24</v>
      </c>
      <c r="AI62">
        <f t="shared" si="1"/>
        <v>1</v>
      </c>
      <c r="AJ62">
        <f t="shared" si="2"/>
        <v>0</v>
      </c>
      <c r="AK62">
        <f t="shared" si="3"/>
        <v>0</v>
      </c>
      <c r="AL62">
        <f t="shared" si="4"/>
        <v>0</v>
      </c>
      <c r="AM62">
        <f t="shared" si="5"/>
        <v>1</v>
      </c>
      <c r="AN62">
        <f t="shared" si="6"/>
        <v>0</v>
      </c>
      <c r="AO62">
        <f t="shared" si="7"/>
        <v>0</v>
      </c>
      <c r="AP62">
        <f t="shared" si="8"/>
        <v>0</v>
      </c>
      <c r="AQ62">
        <f t="shared" si="9"/>
        <v>1</v>
      </c>
      <c r="AR62">
        <f t="shared" si="10"/>
        <v>1</v>
      </c>
      <c r="AS62">
        <f t="shared" si="11"/>
        <v>0</v>
      </c>
      <c r="AT62">
        <f t="shared" si="12"/>
        <v>0</v>
      </c>
      <c r="AU62">
        <f t="shared" si="13"/>
        <v>1</v>
      </c>
      <c r="AV62">
        <f t="shared" si="14"/>
        <v>0</v>
      </c>
      <c r="AW62">
        <f t="shared" si="15"/>
        <v>0</v>
      </c>
      <c r="AX62">
        <f t="shared" si="16"/>
        <v>5</v>
      </c>
      <c r="AY62">
        <f>IF(Table13[[#This Row],[Please choose your sex]]="Male",0,1)</f>
        <v>1</v>
      </c>
      <c r="AZ62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62">
        <f>IF(Table13[[#This Row],[Do you hold a subspecialty qualification (degree / certificate) in Reproductive Endocrinology and Infertility?
]]="No",0,1)</f>
        <v>0</v>
      </c>
      <c r="BB62">
        <f>IF(Table13[[#This Row],[Do you provide clinical care for the management of infertility?]]="No",0,1)</f>
        <v>1</v>
      </c>
      <c r="BC62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62">
        <f>IF(Table13[[#This Row],[Do you have access to evidence-based clinical guidelines at your workplace?]]="No",0,1)</f>
        <v>0</v>
      </c>
      <c r="BE62">
        <f>IF(OR(Table13[[#This Row],[What is your practice setting? (Select all that apply.)]]="University hospital ;",Table13[[#This Row],[What is your practice setting? (Select all that apply.)]]="Public hospital ;"),1,0)</f>
        <v>0</v>
      </c>
      <c r="BF62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63" spans="1:58" ht="16" x14ac:dyDescent="0.2">
      <c r="A63" s="4">
        <v>42</v>
      </c>
      <c r="B63" s="5">
        <v>46116.68787037037</v>
      </c>
      <c r="C63" s="5">
        <v>46116.689652777779</v>
      </c>
      <c r="D63" s="4" t="s">
        <v>29</v>
      </c>
      <c r="E63" s="6">
        <v>1995</v>
      </c>
      <c r="F63" s="4" t="s">
        <v>30</v>
      </c>
      <c r="G63" s="6">
        <v>2019</v>
      </c>
      <c r="H63" s="4" t="s">
        <v>50</v>
      </c>
      <c r="I63" s="4" t="s">
        <v>32</v>
      </c>
      <c r="J63" s="4" t="s">
        <v>33</v>
      </c>
      <c r="K63" s="4" t="s">
        <v>34</v>
      </c>
      <c r="L63" s="4" t="s">
        <v>43</v>
      </c>
      <c r="M63" s="4" t="s">
        <v>37</v>
      </c>
      <c r="N63" s="4" t="s">
        <v>37</v>
      </c>
      <c r="O63" s="4" t="s">
        <v>37</v>
      </c>
      <c r="P63" s="4" t="s">
        <v>37</v>
      </c>
      <c r="Q63" s="4" t="s">
        <v>37</v>
      </c>
      <c r="R63" s="4" t="s">
        <v>38</v>
      </c>
      <c r="S63" s="4" t="s">
        <v>36</v>
      </c>
      <c r="T63" s="4" t="s">
        <v>38</v>
      </c>
      <c r="U63" s="4" t="s">
        <v>36</v>
      </c>
      <c r="V63" s="4" t="s">
        <v>37</v>
      </c>
      <c r="W63" s="4" t="s">
        <v>38</v>
      </c>
      <c r="X63" s="4" t="s">
        <v>36</v>
      </c>
      <c r="Y63" s="4" t="s">
        <v>37</v>
      </c>
      <c r="Z63" s="4" t="s">
        <v>38</v>
      </c>
      <c r="AA63" s="4" t="s">
        <v>36</v>
      </c>
      <c r="AB63" s="4" t="s">
        <v>33</v>
      </c>
      <c r="AC63" s="4" t="s">
        <v>40</v>
      </c>
      <c r="AF63" s="7">
        <f>Table13[[#This Row],[Completion time]]-Table13[[#This Row],[Start time]]</f>
        <v>1.7824074093368836E-3</v>
      </c>
      <c r="AG63" s="8">
        <f>2026-Table13[[#This Row],[What is your year of birth? ]]</f>
        <v>31</v>
      </c>
      <c r="AH63">
        <f>2026-Table13[[#This Row],[Please indicate the year you graduated from the Faculty of Medicine]]</f>
        <v>7</v>
      </c>
      <c r="AI63">
        <f t="shared" si="1"/>
        <v>0</v>
      </c>
      <c r="AJ63">
        <f t="shared" si="2"/>
        <v>0</v>
      </c>
      <c r="AK63">
        <f t="shared" si="3"/>
        <v>0</v>
      </c>
      <c r="AL63">
        <f t="shared" si="4"/>
        <v>0</v>
      </c>
      <c r="AM63">
        <f t="shared" si="5"/>
        <v>1</v>
      </c>
      <c r="AN63">
        <f t="shared" si="6"/>
        <v>1</v>
      </c>
      <c r="AO63">
        <f t="shared" si="7"/>
        <v>0</v>
      </c>
      <c r="AP63">
        <f t="shared" si="8"/>
        <v>1</v>
      </c>
      <c r="AQ63">
        <f t="shared" si="9"/>
        <v>0</v>
      </c>
      <c r="AR63">
        <f t="shared" si="10"/>
        <v>0</v>
      </c>
      <c r="AS63">
        <f t="shared" si="11"/>
        <v>1</v>
      </c>
      <c r="AT63">
        <f t="shared" si="12"/>
        <v>0</v>
      </c>
      <c r="AU63">
        <f t="shared" si="13"/>
        <v>0</v>
      </c>
      <c r="AV63">
        <f t="shared" si="14"/>
        <v>1</v>
      </c>
      <c r="AW63">
        <f t="shared" si="15"/>
        <v>0</v>
      </c>
      <c r="AX63">
        <f t="shared" si="16"/>
        <v>5</v>
      </c>
      <c r="AY63">
        <f>IF(Table13[[#This Row],[Please choose your sex]]="Male",0,1)</f>
        <v>0</v>
      </c>
      <c r="AZ63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63">
        <f>IF(Table13[[#This Row],[Do you hold a subspecialty qualification (degree / certificate) in Reproductive Endocrinology and Infertility?
]]="No",0,1)</f>
        <v>0</v>
      </c>
      <c r="BB63">
        <f>IF(Table13[[#This Row],[Do you provide clinical care for the management of infertility?]]="No",0,1)</f>
        <v>1</v>
      </c>
      <c r="BC63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63">
        <f>IF(Table13[[#This Row],[Do you have access to evidence-based clinical guidelines at your workplace?]]="No",0,1)</f>
        <v>1</v>
      </c>
      <c r="BE63">
        <f>IF(OR(Table13[[#This Row],[What is your practice setting? (Select all that apply.)]]="University hospital ;",Table13[[#This Row],[What is your practice setting? (Select all that apply.)]]="Public hospital ;"),1,0)</f>
        <v>1</v>
      </c>
      <c r="BF63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64" spans="1:58" ht="16" x14ac:dyDescent="0.2">
      <c r="A64" s="4">
        <v>43</v>
      </c>
      <c r="B64" s="5">
        <v>46116.688078703701</v>
      </c>
      <c r="C64" s="5">
        <v>46116.691921296297</v>
      </c>
      <c r="D64" s="4" t="s">
        <v>29</v>
      </c>
      <c r="E64" s="6">
        <v>1995</v>
      </c>
      <c r="F64" s="4" t="s">
        <v>44</v>
      </c>
      <c r="G64" s="6">
        <v>2019</v>
      </c>
      <c r="H64" s="4" t="s">
        <v>50</v>
      </c>
      <c r="I64" s="4" t="s">
        <v>32</v>
      </c>
      <c r="J64" s="4" t="s">
        <v>33</v>
      </c>
      <c r="K64" s="4" t="s">
        <v>34</v>
      </c>
      <c r="L64" s="4" t="s">
        <v>72</v>
      </c>
      <c r="M64" s="4" t="s">
        <v>38</v>
      </c>
      <c r="N64" s="4" t="s">
        <v>38</v>
      </c>
      <c r="O64" s="4" t="s">
        <v>38</v>
      </c>
      <c r="P64" s="4" t="s">
        <v>38</v>
      </c>
      <c r="Q64" s="4" t="s">
        <v>37</v>
      </c>
      <c r="R64" s="4" t="s">
        <v>38</v>
      </c>
      <c r="S64" s="4" t="s">
        <v>38</v>
      </c>
      <c r="T64" s="4" t="s">
        <v>38</v>
      </c>
      <c r="U64" s="4" t="s">
        <v>37</v>
      </c>
      <c r="V64" s="4" t="s">
        <v>38</v>
      </c>
      <c r="W64" s="4" t="s">
        <v>38</v>
      </c>
      <c r="X64" s="4" t="s">
        <v>38</v>
      </c>
      <c r="Y64" s="4" t="s">
        <v>38</v>
      </c>
      <c r="Z64" s="4" t="s">
        <v>38</v>
      </c>
      <c r="AA64" s="4" t="s">
        <v>38</v>
      </c>
      <c r="AB64" s="4" t="s">
        <v>33</v>
      </c>
      <c r="AC64" s="4" t="s">
        <v>48</v>
      </c>
      <c r="AF64" s="7">
        <f>Table13[[#This Row],[Completion time]]-Table13[[#This Row],[Start time]]</f>
        <v>3.8425925959018059E-3</v>
      </c>
      <c r="AG64" s="8">
        <f>2026-Table13[[#This Row],[What is your year of birth? ]]</f>
        <v>31</v>
      </c>
      <c r="AH64">
        <f>2026-Table13[[#This Row],[Please indicate the year you graduated from the Faculty of Medicine]]</f>
        <v>7</v>
      </c>
      <c r="AI64">
        <f t="shared" si="1"/>
        <v>1</v>
      </c>
      <c r="AJ64">
        <f t="shared" si="2"/>
        <v>1</v>
      </c>
      <c r="AK64">
        <f t="shared" si="3"/>
        <v>1</v>
      </c>
      <c r="AL64">
        <f t="shared" si="4"/>
        <v>1</v>
      </c>
      <c r="AM64">
        <f t="shared" si="5"/>
        <v>1</v>
      </c>
      <c r="AN64">
        <f t="shared" si="6"/>
        <v>1</v>
      </c>
      <c r="AO64">
        <f t="shared" si="7"/>
        <v>1</v>
      </c>
      <c r="AP64">
        <f t="shared" si="8"/>
        <v>1</v>
      </c>
      <c r="AQ64">
        <f t="shared" si="9"/>
        <v>1</v>
      </c>
      <c r="AR64">
        <f t="shared" si="10"/>
        <v>1</v>
      </c>
      <c r="AS64">
        <f t="shared" si="11"/>
        <v>1</v>
      </c>
      <c r="AT64">
        <f t="shared" si="12"/>
        <v>1</v>
      </c>
      <c r="AU64">
        <f t="shared" si="13"/>
        <v>1</v>
      </c>
      <c r="AV64">
        <f t="shared" si="14"/>
        <v>1</v>
      </c>
      <c r="AW64">
        <f t="shared" si="15"/>
        <v>1</v>
      </c>
      <c r="AX64">
        <f t="shared" si="16"/>
        <v>15</v>
      </c>
      <c r="AY64">
        <f>IF(Table13[[#This Row],[Please choose your sex]]="Male",0,1)</f>
        <v>1</v>
      </c>
      <c r="AZ64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64">
        <f>IF(Table13[[#This Row],[Do you hold a subspecialty qualification (degree / certificate) in Reproductive Endocrinology and Infertility?
]]="No",0,1)</f>
        <v>0</v>
      </c>
      <c r="BB64">
        <f>IF(Table13[[#This Row],[Do you provide clinical care for the management of infertility?]]="No",0,1)</f>
        <v>1</v>
      </c>
      <c r="BC64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64">
        <f>IF(Table13[[#This Row],[Do you have access to evidence-based clinical guidelines at your workplace?]]="No",0,1)</f>
        <v>1</v>
      </c>
      <c r="BE64">
        <f>IF(OR(Table13[[#This Row],[What is your practice setting? (Select all that apply.)]]="University hospital ;",Table13[[#This Row],[What is your practice setting? (Select all that apply.)]]="Public hospital ;"),1,0)</f>
        <v>0</v>
      </c>
      <c r="BF64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65" spans="1:58" ht="16" x14ac:dyDescent="0.2">
      <c r="A65" s="4">
        <v>44</v>
      </c>
      <c r="B65" s="5">
        <v>46116.692893518521</v>
      </c>
      <c r="C65" s="5">
        <v>46116.6953125</v>
      </c>
      <c r="D65" s="4" t="s">
        <v>29</v>
      </c>
      <c r="E65" s="6">
        <v>1990</v>
      </c>
      <c r="F65" s="4" t="s">
        <v>44</v>
      </c>
      <c r="G65" s="6">
        <v>2014</v>
      </c>
      <c r="H65" s="4" t="s">
        <v>77</v>
      </c>
      <c r="I65" s="4" t="s">
        <v>33</v>
      </c>
      <c r="J65" s="4" t="s">
        <v>33</v>
      </c>
      <c r="K65" s="4" t="s">
        <v>34</v>
      </c>
      <c r="L65" s="4" t="s">
        <v>46</v>
      </c>
      <c r="M65" s="4" t="s">
        <v>47</v>
      </c>
      <c r="N65" s="4" t="s">
        <v>38</v>
      </c>
      <c r="O65" s="4" t="s">
        <v>37</v>
      </c>
      <c r="P65" s="4" t="s">
        <v>36</v>
      </c>
      <c r="Q65" s="4" t="s">
        <v>39</v>
      </c>
      <c r="R65" s="4" t="s">
        <v>38</v>
      </c>
      <c r="S65" s="4" t="s">
        <v>38</v>
      </c>
      <c r="T65" s="4" t="s">
        <v>37</v>
      </c>
      <c r="U65" s="4" t="s">
        <v>37</v>
      </c>
      <c r="V65" s="4" t="s">
        <v>37</v>
      </c>
      <c r="W65" s="4" t="s">
        <v>37</v>
      </c>
      <c r="X65" s="4" t="s">
        <v>37</v>
      </c>
      <c r="Y65" s="4" t="s">
        <v>38</v>
      </c>
      <c r="Z65" s="4" t="s">
        <v>37</v>
      </c>
      <c r="AA65" s="4" t="s">
        <v>36</v>
      </c>
      <c r="AB65" s="4" t="s">
        <v>32</v>
      </c>
      <c r="AC65" s="4" t="s">
        <v>40</v>
      </c>
      <c r="AF65" s="7">
        <f>Table13[[#This Row],[Completion time]]-Table13[[#This Row],[Start time]]</f>
        <v>2.418981479422655E-3</v>
      </c>
      <c r="AG65" s="8">
        <f>2026-Table13[[#This Row],[What is your year of birth? ]]</f>
        <v>36</v>
      </c>
      <c r="AH65">
        <f>2026-Table13[[#This Row],[Please indicate the year you graduated from the Faculty of Medicine]]</f>
        <v>12</v>
      </c>
      <c r="AI65">
        <f t="shared" si="1"/>
        <v>1</v>
      </c>
      <c r="AJ65">
        <f t="shared" si="2"/>
        <v>1</v>
      </c>
      <c r="AK65">
        <f t="shared" si="3"/>
        <v>0</v>
      </c>
      <c r="AL65">
        <f t="shared" si="4"/>
        <v>0</v>
      </c>
      <c r="AM65">
        <f t="shared" si="5"/>
        <v>1</v>
      </c>
      <c r="AN65">
        <f t="shared" si="6"/>
        <v>1</v>
      </c>
      <c r="AO65">
        <f t="shared" si="7"/>
        <v>1</v>
      </c>
      <c r="AP65">
        <f t="shared" si="8"/>
        <v>0</v>
      </c>
      <c r="AQ65">
        <f t="shared" si="9"/>
        <v>1</v>
      </c>
      <c r="AR65">
        <f t="shared" si="10"/>
        <v>0</v>
      </c>
      <c r="AS65">
        <f t="shared" si="11"/>
        <v>0</v>
      </c>
      <c r="AT65">
        <f t="shared" si="12"/>
        <v>0</v>
      </c>
      <c r="AU65">
        <f t="shared" si="13"/>
        <v>1</v>
      </c>
      <c r="AV65">
        <f t="shared" si="14"/>
        <v>0</v>
      </c>
      <c r="AW65">
        <f t="shared" si="15"/>
        <v>0</v>
      </c>
      <c r="AX65">
        <f t="shared" si="16"/>
        <v>7</v>
      </c>
      <c r="AY65">
        <f>IF(Table13[[#This Row],[Please choose your sex]]="Male",0,1)</f>
        <v>1</v>
      </c>
      <c r="AZ65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65">
        <f>IF(Table13[[#This Row],[Do you hold a subspecialty qualification (degree / certificate) in Reproductive Endocrinology and Infertility?
]]="No",0,1)</f>
        <v>1</v>
      </c>
      <c r="BB65">
        <f>IF(Table13[[#This Row],[Do you provide clinical care for the management of infertility?]]="No",0,1)</f>
        <v>1</v>
      </c>
      <c r="BC65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65">
        <f>IF(Table13[[#This Row],[Do you have access to evidence-based clinical guidelines at your workplace?]]="No",0,1)</f>
        <v>0</v>
      </c>
      <c r="BE65">
        <f>IF(OR(Table13[[#This Row],[What is your practice setting? (Select all that apply.)]]="University hospital ;",Table13[[#This Row],[What is your practice setting? (Select all that apply.)]]="Public hospital ;"),1,0)</f>
        <v>0</v>
      </c>
      <c r="BF65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66" spans="1:58" ht="16" x14ac:dyDescent="0.2">
      <c r="A66" s="4">
        <v>45</v>
      </c>
      <c r="B66" s="5">
        <v>46116.708344907405</v>
      </c>
      <c r="C66" s="5">
        <v>46116.711550925924</v>
      </c>
      <c r="D66" s="4" t="s">
        <v>29</v>
      </c>
      <c r="E66" s="6">
        <v>1964</v>
      </c>
      <c r="F66" s="4" t="s">
        <v>30</v>
      </c>
      <c r="G66" s="6">
        <v>1987</v>
      </c>
      <c r="H66" s="4" t="s">
        <v>58</v>
      </c>
      <c r="I66" s="4" t="s">
        <v>32</v>
      </c>
      <c r="J66" s="4" t="s">
        <v>33</v>
      </c>
      <c r="K66" s="4" t="s">
        <v>42</v>
      </c>
      <c r="L66" s="4" t="s">
        <v>51</v>
      </c>
      <c r="M66" s="4" t="s">
        <v>47</v>
      </c>
      <c r="N66" s="4" t="s">
        <v>38</v>
      </c>
      <c r="O66" s="4" t="s">
        <v>38</v>
      </c>
      <c r="P66" s="4" t="s">
        <v>38</v>
      </c>
      <c r="Q66" s="4" t="s">
        <v>39</v>
      </c>
      <c r="R66" s="4" t="s">
        <v>47</v>
      </c>
      <c r="S66" s="4" t="s">
        <v>47</v>
      </c>
      <c r="T66" s="4" t="s">
        <v>38</v>
      </c>
      <c r="U66" s="4" t="s">
        <v>36</v>
      </c>
      <c r="V66" s="4" t="s">
        <v>38</v>
      </c>
      <c r="W66" s="4" t="s">
        <v>38</v>
      </c>
      <c r="X66" s="4" t="s">
        <v>38</v>
      </c>
      <c r="Y66" s="4" t="s">
        <v>38</v>
      </c>
      <c r="Z66" s="4" t="s">
        <v>37</v>
      </c>
      <c r="AA66" s="4" t="s">
        <v>47</v>
      </c>
      <c r="AB66" s="4" t="s">
        <v>33</v>
      </c>
      <c r="AC66" s="4" t="s">
        <v>78</v>
      </c>
      <c r="AF66" s="7">
        <f>Table13[[#This Row],[Completion time]]-Table13[[#This Row],[Start time]]</f>
        <v>3.2060185185400769E-3</v>
      </c>
      <c r="AG66" s="8">
        <f>2026-Table13[[#This Row],[What is your year of birth? ]]</f>
        <v>62</v>
      </c>
      <c r="AH66">
        <f>2026-Table13[[#This Row],[Please indicate the year you graduated from the Faculty of Medicine]]</f>
        <v>39</v>
      </c>
      <c r="AI66">
        <f t="shared" si="1"/>
        <v>1</v>
      </c>
      <c r="AJ66">
        <f t="shared" si="2"/>
        <v>1</v>
      </c>
      <c r="AK66">
        <f t="shared" si="3"/>
        <v>1</v>
      </c>
      <c r="AL66">
        <f t="shared" si="4"/>
        <v>1</v>
      </c>
      <c r="AM66">
        <f t="shared" si="5"/>
        <v>1</v>
      </c>
      <c r="AN66">
        <f t="shared" si="6"/>
        <v>1</v>
      </c>
      <c r="AO66">
        <f t="shared" si="7"/>
        <v>1</v>
      </c>
      <c r="AP66">
        <f t="shared" si="8"/>
        <v>1</v>
      </c>
      <c r="AQ66">
        <f t="shared" si="9"/>
        <v>0</v>
      </c>
      <c r="AR66">
        <f t="shared" si="10"/>
        <v>1</v>
      </c>
      <c r="AS66">
        <f t="shared" si="11"/>
        <v>1</v>
      </c>
      <c r="AT66">
        <f t="shared" si="12"/>
        <v>1</v>
      </c>
      <c r="AU66">
        <f t="shared" si="13"/>
        <v>1</v>
      </c>
      <c r="AV66">
        <f t="shared" si="14"/>
        <v>0</v>
      </c>
      <c r="AW66">
        <f t="shared" si="15"/>
        <v>1</v>
      </c>
      <c r="AX66">
        <f t="shared" si="16"/>
        <v>13</v>
      </c>
      <c r="AY66">
        <f>IF(Table13[[#This Row],[Please choose your sex]]="Male",0,1)</f>
        <v>0</v>
      </c>
      <c r="AZ66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66">
        <f>IF(Table13[[#This Row],[Do you hold a subspecialty qualification (degree / certificate) in Reproductive Endocrinology and Infertility?
]]="No",0,1)</f>
        <v>0</v>
      </c>
      <c r="BB66">
        <f>IF(Table13[[#This Row],[Do you provide clinical care for the management of infertility?]]="No",0,1)</f>
        <v>1</v>
      </c>
      <c r="BC66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66">
        <f>IF(Table13[[#This Row],[Do you have access to evidence-based clinical guidelines at your workplace?]]="No",0,1)</f>
        <v>1</v>
      </c>
      <c r="BE66">
        <f>IF(OR(Table13[[#This Row],[What is your practice setting? (Select all that apply.)]]="University hospital ;",Table13[[#This Row],[What is your practice setting? (Select all that apply.)]]="Public hospital ;"),1,0)</f>
        <v>0</v>
      </c>
      <c r="BF66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67" spans="1:58" ht="16" x14ac:dyDescent="0.2">
      <c r="A67" s="4">
        <v>46</v>
      </c>
      <c r="B67" s="5">
        <v>46117.027442129627</v>
      </c>
      <c r="C67" s="5">
        <v>46117.029930555553</v>
      </c>
      <c r="D67" s="4" t="s">
        <v>29</v>
      </c>
      <c r="E67" s="6">
        <v>1972</v>
      </c>
      <c r="F67" s="4" t="s">
        <v>30</v>
      </c>
      <c r="G67" s="6">
        <v>1994</v>
      </c>
      <c r="H67" s="4" t="s">
        <v>45</v>
      </c>
      <c r="I67" s="4" t="s">
        <v>32</v>
      </c>
      <c r="J67" s="4" t="s">
        <v>33</v>
      </c>
      <c r="K67" s="4" t="s">
        <v>42</v>
      </c>
      <c r="L67" s="4" t="s">
        <v>72</v>
      </c>
      <c r="M67" s="4" t="s">
        <v>47</v>
      </c>
      <c r="N67" s="4" t="s">
        <v>37</v>
      </c>
      <c r="O67" s="4" t="s">
        <v>38</v>
      </c>
      <c r="P67" s="4" t="s">
        <v>39</v>
      </c>
      <c r="Q67" s="4" t="s">
        <v>39</v>
      </c>
      <c r="R67" s="4" t="s">
        <v>38</v>
      </c>
      <c r="S67" s="4" t="s">
        <v>47</v>
      </c>
      <c r="T67" s="4" t="s">
        <v>38</v>
      </c>
      <c r="U67" s="4" t="s">
        <v>37</v>
      </c>
      <c r="V67" s="4" t="s">
        <v>36</v>
      </c>
      <c r="W67" s="4" t="s">
        <v>36</v>
      </c>
      <c r="X67" s="4" t="s">
        <v>38</v>
      </c>
      <c r="Y67" s="4" t="s">
        <v>38</v>
      </c>
      <c r="Z67" s="4" t="s">
        <v>37</v>
      </c>
      <c r="AA67" s="4" t="s">
        <v>38</v>
      </c>
      <c r="AB67" s="4" t="s">
        <v>32</v>
      </c>
      <c r="AC67" s="4" t="s">
        <v>52</v>
      </c>
      <c r="AF67" s="7">
        <f>Table13[[#This Row],[Completion time]]-Table13[[#This Row],[Start time]]</f>
        <v>2.488425925548654E-3</v>
      </c>
      <c r="AG67" s="8">
        <f>2026-Table13[[#This Row],[What is your year of birth? ]]</f>
        <v>54</v>
      </c>
      <c r="AH67">
        <f>2026-Table13[[#This Row],[Please indicate the year you graduated from the Faculty of Medicine]]</f>
        <v>32</v>
      </c>
      <c r="AI67">
        <f t="shared" ref="AI67:AI130" si="17">IF(OR(M67="Strongly disagree", M67="Disagree"), 1, 0)</f>
        <v>1</v>
      </c>
      <c r="AJ67">
        <f t="shared" ref="AJ67:AJ130" si="18">IF(OR(N67="Strongly disagree", N67="Disagree"), 1, 0)</f>
        <v>0</v>
      </c>
      <c r="AK67">
        <f t="shared" ref="AK67:AK130" si="19">IF(OR(O67="Strongly disagree", O67="Disagree"), 1, 0)</f>
        <v>1</v>
      </c>
      <c r="AL67">
        <f t="shared" ref="AL67:AL130" si="20">IF(OR(P67="Strongly disagree", P67="Disagree"), 1, 0)</f>
        <v>0</v>
      </c>
      <c r="AM67">
        <f t="shared" ref="AM67:AM130" si="21">IF(OR(Q67="Strongly agree", Q67="Agree"), 1, 0)</f>
        <v>1</v>
      </c>
      <c r="AN67">
        <f t="shared" ref="AN67:AN130" si="22">IF(OR(R67="Strongly disagree", R67="Disagree"), 1, 0)</f>
        <v>1</v>
      </c>
      <c r="AO67">
        <f t="shared" ref="AO67:AO130" si="23">IF(OR(S67="Strongly disagree", S67="Disagree"), 1, 0)</f>
        <v>1</v>
      </c>
      <c r="AP67">
        <f t="shared" ref="AP67:AP130" si="24">IF(OR(T67="Strongly disagree", T67="Disagree"), 1, 0)</f>
        <v>1</v>
      </c>
      <c r="AQ67">
        <f t="shared" ref="AQ67:AQ130" si="25">IF(OR(U67="Strongly agree", U67="Agree"), 1, 0)</f>
        <v>1</v>
      </c>
      <c r="AR67">
        <f t="shared" ref="AR67:AR130" si="26">IF(OR(V67="Strongly disagree", V67="Disagree"), 1, 0)</f>
        <v>0</v>
      </c>
      <c r="AS67">
        <f t="shared" ref="AS67:AS130" si="27">IF(OR(W67="Strongly disagree", W67="Disagree"), 1, 0)</f>
        <v>0</v>
      </c>
      <c r="AT67">
        <f t="shared" ref="AT67:AT130" si="28">IF(OR(X67="Strongly disagree", X67="Disagree"), 1, 0)</f>
        <v>1</v>
      </c>
      <c r="AU67">
        <f t="shared" ref="AU67:AU130" si="29">IF(OR(Y67="Strongly disagree", Y67="Disagree"), 1, 0)</f>
        <v>1</v>
      </c>
      <c r="AV67">
        <f t="shared" ref="AV67:AV130" si="30">IF(OR(Z67="Strongly disagree", Z67="Disagree"), 1, 0)</f>
        <v>0</v>
      </c>
      <c r="AW67">
        <f t="shared" ref="AW67:AW130" si="31">IF(OR(AA67="Strongly disagree", AA67="Disagree"), 1, 0)</f>
        <v>1</v>
      </c>
      <c r="AX67">
        <f t="shared" ref="AX67:AX130" si="32">SUM(AI67:AW67)</f>
        <v>10</v>
      </c>
      <c r="AY67">
        <f>IF(Table13[[#This Row],[Please choose your sex]]="Male",0,1)</f>
        <v>0</v>
      </c>
      <c r="AZ67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67">
        <f>IF(Table13[[#This Row],[Do you hold a subspecialty qualification (degree / certificate) in Reproductive Endocrinology and Infertility?
]]="No",0,1)</f>
        <v>0</v>
      </c>
      <c r="BB67">
        <f>IF(Table13[[#This Row],[Do you provide clinical care for the management of infertility?]]="No",0,1)</f>
        <v>1</v>
      </c>
      <c r="BC67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67">
        <f>IF(Table13[[#This Row],[Do you have access to evidence-based clinical guidelines at your workplace?]]="No",0,1)</f>
        <v>0</v>
      </c>
      <c r="BE67">
        <f>IF(OR(Table13[[#This Row],[What is your practice setting? (Select all that apply.)]]="University hospital ;",Table13[[#This Row],[What is your practice setting? (Select all that apply.)]]="Public hospital ;"),1,0)</f>
        <v>0</v>
      </c>
      <c r="BF67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68" spans="1:58" ht="16" x14ac:dyDescent="0.2">
      <c r="A68" s="4">
        <v>47</v>
      </c>
      <c r="B68" s="5">
        <v>46117.610706018517</v>
      </c>
      <c r="C68" s="5">
        <v>46117.613854166666</v>
      </c>
      <c r="D68" s="4" t="s">
        <v>29</v>
      </c>
      <c r="E68" s="6">
        <v>1997</v>
      </c>
      <c r="F68" s="4" t="s">
        <v>30</v>
      </c>
      <c r="G68" s="6">
        <v>2020</v>
      </c>
      <c r="H68" s="4" t="s">
        <v>50</v>
      </c>
      <c r="I68" s="4" t="s">
        <v>32</v>
      </c>
      <c r="J68" s="4" t="s">
        <v>33</v>
      </c>
      <c r="K68" s="4" t="s">
        <v>34</v>
      </c>
      <c r="L68" s="4" t="s">
        <v>79</v>
      </c>
      <c r="M68" s="4" t="s">
        <v>37</v>
      </c>
      <c r="N68" s="4" t="s">
        <v>37</v>
      </c>
      <c r="O68" s="4" t="s">
        <v>36</v>
      </c>
      <c r="P68" s="4" t="s">
        <v>39</v>
      </c>
      <c r="Q68" s="4" t="s">
        <v>39</v>
      </c>
      <c r="R68" s="4" t="s">
        <v>37</v>
      </c>
      <c r="S68" s="4" t="s">
        <v>36</v>
      </c>
      <c r="T68" s="4" t="s">
        <v>37</v>
      </c>
      <c r="U68" s="4" t="s">
        <v>37</v>
      </c>
      <c r="V68" s="4" t="s">
        <v>38</v>
      </c>
      <c r="W68" s="4" t="s">
        <v>38</v>
      </c>
      <c r="X68" s="4" t="s">
        <v>37</v>
      </c>
      <c r="Y68" s="4" t="s">
        <v>37</v>
      </c>
      <c r="Z68" s="4" t="s">
        <v>39</v>
      </c>
      <c r="AA68" s="4" t="s">
        <v>37</v>
      </c>
      <c r="AB68" s="4" t="s">
        <v>33</v>
      </c>
      <c r="AC68" s="4" t="s">
        <v>80</v>
      </c>
      <c r="AF68" s="7">
        <f>Table13[[#This Row],[Completion time]]-Table13[[#This Row],[Start time]]</f>
        <v>3.1481481491937302E-3</v>
      </c>
      <c r="AG68" s="8">
        <f>2026-Table13[[#This Row],[What is your year of birth? ]]</f>
        <v>29</v>
      </c>
      <c r="AH68">
        <f>2026-Table13[[#This Row],[Please indicate the year you graduated from the Faculty of Medicine]]</f>
        <v>6</v>
      </c>
      <c r="AI68">
        <f t="shared" si="17"/>
        <v>0</v>
      </c>
      <c r="AJ68">
        <f t="shared" si="18"/>
        <v>0</v>
      </c>
      <c r="AK68">
        <f t="shared" si="19"/>
        <v>0</v>
      </c>
      <c r="AL68">
        <f t="shared" si="20"/>
        <v>0</v>
      </c>
      <c r="AM68">
        <f t="shared" si="21"/>
        <v>1</v>
      </c>
      <c r="AN68">
        <f t="shared" si="22"/>
        <v>0</v>
      </c>
      <c r="AO68">
        <f t="shared" si="23"/>
        <v>0</v>
      </c>
      <c r="AP68">
        <f t="shared" si="24"/>
        <v>0</v>
      </c>
      <c r="AQ68">
        <f t="shared" si="25"/>
        <v>1</v>
      </c>
      <c r="AR68">
        <f t="shared" si="26"/>
        <v>1</v>
      </c>
      <c r="AS68">
        <f t="shared" si="27"/>
        <v>1</v>
      </c>
      <c r="AT68">
        <f t="shared" si="28"/>
        <v>0</v>
      </c>
      <c r="AU68">
        <f t="shared" si="29"/>
        <v>0</v>
      </c>
      <c r="AV68">
        <f t="shared" si="30"/>
        <v>0</v>
      </c>
      <c r="AW68">
        <f t="shared" si="31"/>
        <v>0</v>
      </c>
      <c r="AX68">
        <f t="shared" si="32"/>
        <v>4</v>
      </c>
      <c r="AY68">
        <f>IF(Table13[[#This Row],[Please choose your sex]]="Male",0,1)</f>
        <v>0</v>
      </c>
      <c r="AZ68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68">
        <f>IF(Table13[[#This Row],[Do you hold a subspecialty qualification (degree / certificate) in Reproductive Endocrinology and Infertility?
]]="No",0,1)</f>
        <v>0</v>
      </c>
      <c r="BB68">
        <f>IF(Table13[[#This Row],[Do you provide clinical care for the management of infertility?]]="No",0,1)</f>
        <v>1</v>
      </c>
      <c r="BC68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68">
        <f>IF(Table13[[#This Row],[Do you have access to evidence-based clinical guidelines at your workplace?]]="No",0,1)</f>
        <v>1</v>
      </c>
      <c r="BE68">
        <f>IF(OR(Table13[[#This Row],[What is your practice setting? (Select all that apply.)]]="University hospital ;",Table13[[#This Row],[What is your practice setting? (Select all that apply.)]]="Public hospital ;"),1,0)</f>
        <v>0</v>
      </c>
      <c r="BF68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69" spans="1:58" ht="16" x14ac:dyDescent="0.2">
      <c r="A69" s="4">
        <v>48</v>
      </c>
      <c r="B69" s="5">
        <v>46118.747986111113</v>
      </c>
      <c r="C69" s="5">
        <v>46118.750347222223</v>
      </c>
      <c r="D69" s="4" t="s">
        <v>29</v>
      </c>
      <c r="E69" s="6">
        <v>1995</v>
      </c>
      <c r="F69" s="4" t="s">
        <v>44</v>
      </c>
      <c r="G69" s="6">
        <v>2019</v>
      </c>
      <c r="H69" s="4" t="s">
        <v>53</v>
      </c>
      <c r="I69" s="4" t="s">
        <v>32</v>
      </c>
      <c r="J69" s="4" t="s">
        <v>33</v>
      </c>
      <c r="K69" s="4" t="s">
        <v>34</v>
      </c>
      <c r="L69" s="4" t="s">
        <v>81</v>
      </c>
      <c r="M69" s="4" t="s">
        <v>38</v>
      </c>
      <c r="N69" s="4" t="s">
        <v>38</v>
      </c>
      <c r="O69" s="4" t="s">
        <v>36</v>
      </c>
      <c r="P69" s="4" t="s">
        <v>36</v>
      </c>
      <c r="Q69" s="4" t="s">
        <v>39</v>
      </c>
      <c r="R69" s="4" t="s">
        <v>38</v>
      </c>
      <c r="S69" s="4" t="s">
        <v>36</v>
      </c>
      <c r="T69" s="4" t="s">
        <v>38</v>
      </c>
      <c r="U69" s="4" t="s">
        <v>39</v>
      </c>
      <c r="V69" s="4" t="s">
        <v>36</v>
      </c>
      <c r="W69" s="4" t="s">
        <v>36</v>
      </c>
      <c r="X69" s="4" t="s">
        <v>36</v>
      </c>
      <c r="Y69" s="4" t="s">
        <v>37</v>
      </c>
      <c r="Z69" s="4" t="s">
        <v>36</v>
      </c>
      <c r="AA69" s="4" t="s">
        <v>38</v>
      </c>
      <c r="AB69" s="4" t="s">
        <v>33</v>
      </c>
      <c r="AC69" s="4" t="s">
        <v>55</v>
      </c>
      <c r="AF69" s="7">
        <f>Table13[[#This Row],[Completion time]]-Table13[[#This Row],[Start time]]</f>
        <v>2.3611111100763083E-3</v>
      </c>
      <c r="AG69" s="8">
        <f>2026-Table13[[#This Row],[What is your year of birth? ]]</f>
        <v>31</v>
      </c>
      <c r="AH69">
        <f>2026-Table13[[#This Row],[Please indicate the year you graduated from the Faculty of Medicine]]</f>
        <v>7</v>
      </c>
      <c r="AI69">
        <f t="shared" si="17"/>
        <v>1</v>
      </c>
      <c r="AJ69">
        <f t="shared" si="18"/>
        <v>1</v>
      </c>
      <c r="AK69">
        <f t="shared" si="19"/>
        <v>0</v>
      </c>
      <c r="AL69">
        <f t="shared" si="20"/>
        <v>0</v>
      </c>
      <c r="AM69">
        <f t="shared" si="21"/>
        <v>1</v>
      </c>
      <c r="AN69">
        <f t="shared" si="22"/>
        <v>1</v>
      </c>
      <c r="AO69">
        <f t="shared" si="23"/>
        <v>0</v>
      </c>
      <c r="AP69">
        <f t="shared" si="24"/>
        <v>1</v>
      </c>
      <c r="AQ69">
        <f t="shared" si="25"/>
        <v>1</v>
      </c>
      <c r="AR69">
        <f t="shared" si="26"/>
        <v>0</v>
      </c>
      <c r="AS69">
        <f t="shared" si="27"/>
        <v>0</v>
      </c>
      <c r="AT69">
        <f t="shared" si="28"/>
        <v>0</v>
      </c>
      <c r="AU69">
        <f t="shared" si="29"/>
        <v>0</v>
      </c>
      <c r="AV69">
        <f t="shared" si="30"/>
        <v>0</v>
      </c>
      <c r="AW69">
        <f t="shared" si="31"/>
        <v>1</v>
      </c>
      <c r="AX69">
        <f t="shared" si="32"/>
        <v>7</v>
      </c>
      <c r="AY69">
        <f>IF(Table13[[#This Row],[Please choose your sex]]="Male",0,1)</f>
        <v>1</v>
      </c>
      <c r="AZ69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69">
        <f>IF(Table13[[#This Row],[Do you hold a subspecialty qualification (degree / certificate) in Reproductive Endocrinology and Infertility?
]]="No",0,1)</f>
        <v>0</v>
      </c>
      <c r="BB69">
        <f>IF(Table13[[#This Row],[Do you provide clinical care for the management of infertility?]]="No",0,1)</f>
        <v>1</v>
      </c>
      <c r="BC69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69">
        <f>IF(Table13[[#This Row],[Do you have access to evidence-based clinical guidelines at your workplace?]]="No",0,1)</f>
        <v>1</v>
      </c>
      <c r="BE69">
        <f>IF(OR(Table13[[#This Row],[What is your practice setting? (Select all that apply.)]]="University hospital ;",Table13[[#This Row],[What is your practice setting? (Select all that apply.)]]="Public hospital ;"),1,0)</f>
        <v>0</v>
      </c>
      <c r="BF69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70" spans="1:58" ht="16" x14ac:dyDescent="0.2">
      <c r="A70" s="4">
        <v>51</v>
      </c>
      <c r="B70" s="5">
        <v>46121.610937500001</v>
      </c>
      <c r="C70" s="5">
        <v>46121.615300925929</v>
      </c>
      <c r="D70" s="4" t="s">
        <v>29</v>
      </c>
      <c r="E70" s="6">
        <v>1996</v>
      </c>
      <c r="F70" s="4" t="s">
        <v>30</v>
      </c>
      <c r="G70" s="6">
        <v>2020</v>
      </c>
      <c r="H70" s="4" t="s">
        <v>50</v>
      </c>
      <c r="I70" s="4" t="s">
        <v>32</v>
      </c>
      <c r="J70" s="4" t="s">
        <v>33</v>
      </c>
      <c r="K70" s="4" t="s">
        <v>34</v>
      </c>
      <c r="L70" s="4" t="s">
        <v>43</v>
      </c>
      <c r="M70" s="4" t="s">
        <v>38</v>
      </c>
      <c r="N70" s="4" t="s">
        <v>47</v>
      </c>
      <c r="O70" s="4" t="s">
        <v>38</v>
      </c>
      <c r="P70" s="4" t="s">
        <v>38</v>
      </c>
      <c r="Q70" s="4" t="s">
        <v>39</v>
      </c>
      <c r="R70" s="4" t="s">
        <v>38</v>
      </c>
      <c r="S70" s="4" t="s">
        <v>38</v>
      </c>
      <c r="T70" s="4" t="s">
        <v>38</v>
      </c>
      <c r="U70" s="4" t="s">
        <v>37</v>
      </c>
      <c r="V70" s="4" t="s">
        <v>38</v>
      </c>
      <c r="W70" s="4" t="s">
        <v>38</v>
      </c>
      <c r="X70" s="4" t="s">
        <v>37</v>
      </c>
      <c r="Y70" s="4" t="s">
        <v>38</v>
      </c>
      <c r="Z70" s="4" t="s">
        <v>38</v>
      </c>
      <c r="AA70" s="4" t="s">
        <v>38</v>
      </c>
      <c r="AB70" s="4" t="s">
        <v>33</v>
      </c>
      <c r="AC70" s="4" t="s">
        <v>55</v>
      </c>
      <c r="AF70" s="7">
        <f>Table13[[#This Row],[Completion time]]-Table13[[#This Row],[Start time]]</f>
        <v>4.3634259272948839E-3</v>
      </c>
      <c r="AG70" s="8">
        <f>2026-Table13[[#This Row],[What is your year of birth? ]]</f>
        <v>30</v>
      </c>
      <c r="AH70">
        <f>2026-Table13[[#This Row],[Please indicate the year you graduated from the Faculty of Medicine]]</f>
        <v>6</v>
      </c>
      <c r="AI70">
        <f t="shared" si="17"/>
        <v>1</v>
      </c>
      <c r="AJ70">
        <f t="shared" si="18"/>
        <v>1</v>
      </c>
      <c r="AK70">
        <f t="shared" si="19"/>
        <v>1</v>
      </c>
      <c r="AL70">
        <f t="shared" si="20"/>
        <v>1</v>
      </c>
      <c r="AM70">
        <f t="shared" si="21"/>
        <v>1</v>
      </c>
      <c r="AN70">
        <f t="shared" si="22"/>
        <v>1</v>
      </c>
      <c r="AO70">
        <f t="shared" si="23"/>
        <v>1</v>
      </c>
      <c r="AP70">
        <f t="shared" si="24"/>
        <v>1</v>
      </c>
      <c r="AQ70">
        <f t="shared" si="25"/>
        <v>1</v>
      </c>
      <c r="AR70">
        <f t="shared" si="26"/>
        <v>1</v>
      </c>
      <c r="AS70">
        <f t="shared" si="27"/>
        <v>1</v>
      </c>
      <c r="AT70">
        <f t="shared" si="28"/>
        <v>0</v>
      </c>
      <c r="AU70">
        <f t="shared" si="29"/>
        <v>1</v>
      </c>
      <c r="AV70">
        <f t="shared" si="30"/>
        <v>1</v>
      </c>
      <c r="AW70">
        <f t="shared" si="31"/>
        <v>1</v>
      </c>
      <c r="AX70">
        <f t="shared" si="32"/>
        <v>14</v>
      </c>
      <c r="AY70">
        <f>IF(Table13[[#This Row],[Please choose your sex]]="Male",0,1)</f>
        <v>0</v>
      </c>
      <c r="AZ70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70">
        <f>IF(Table13[[#This Row],[Do you hold a subspecialty qualification (degree / certificate) in Reproductive Endocrinology and Infertility?
]]="No",0,1)</f>
        <v>0</v>
      </c>
      <c r="BB70">
        <f>IF(Table13[[#This Row],[Do you provide clinical care for the management of infertility?]]="No",0,1)</f>
        <v>1</v>
      </c>
      <c r="BC70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70">
        <f>IF(Table13[[#This Row],[Do you have access to evidence-based clinical guidelines at your workplace?]]="No",0,1)</f>
        <v>1</v>
      </c>
      <c r="BE70">
        <f>IF(OR(Table13[[#This Row],[What is your practice setting? (Select all that apply.)]]="University hospital ;",Table13[[#This Row],[What is your practice setting? (Select all that apply.)]]="Public hospital ;"),1,0)</f>
        <v>1</v>
      </c>
      <c r="BF70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71" spans="1:58" ht="16" x14ac:dyDescent="0.2">
      <c r="A71" s="4">
        <v>52</v>
      </c>
      <c r="B71" s="5">
        <v>46123.484803240739</v>
      </c>
      <c r="C71" s="5">
        <v>46123.486759259256</v>
      </c>
      <c r="D71" s="4" t="s">
        <v>29</v>
      </c>
      <c r="E71" s="6">
        <v>1986</v>
      </c>
      <c r="F71" s="4" t="s">
        <v>30</v>
      </c>
      <c r="G71" s="6">
        <v>2009</v>
      </c>
      <c r="H71" s="4" t="s">
        <v>45</v>
      </c>
      <c r="I71" s="4" t="s">
        <v>33</v>
      </c>
      <c r="J71" s="4" t="s">
        <v>33</v>
      </c>
      <c r="K71" s="4" t="s">
        <v>66</v>
      </c>
      <c r="L71" s="4" t="s">
        <v>43</v>
      </c>
      <c r="M71" s="4" t="s">
        <v>37</v>
      </c>
      <c r="N71" s="4" t="s">
        <v>38</v>
      </c>
      <c r="O71" s="4" t="s">
        <v>38</v>
      </c>
      <c r="P71" s="4" t="s">
        <v>37</v>
      </c>
      <c r="Q71" s="4" t="s">
        <v>37</v>
      </c>
      <c r="R71" s="4" t="s">
        <v>37</v>
      </c>
      <c r="S71" s="4" t="s">
        <v>37</v>
      </c>
      <c r="T71" s="4" t="s">
        <v>37</v>
      </c>
      <c r="U71" s="4" t="s">
        <v>37</v>
      </c>
      <c r="V71" s="4" t="s">
        <v>38</v>
      </c>
      <c r="W71" s="4" t="s">
        <v>38</v>
      </c>
      <c r="X71" s="4" t="s">
        <v>37</v>
      </c>
      <c r="Y71" s="4" t="s">
        <v>38</v>
      </c>
      <c r="Z71" s="4" t="s">
        <v>37</v>
      </c>
      <c r="AA71" s="4" t="s">
        <v>38</v>
      </c>
      <c r="AB71" s="4" t="s">
        <v>33</v>
      </c>
      <c r="AC71" s="4" t="s">
        <v>40</v>
      </c>
      <c r="AF71" s="7">
        <f>Table13[[#This Row],[Completion time]]-Table13[[#This Row],[Start time]]</f>
        <v>1.9560185173759237E-3</v>
      </c>
      <c r="AG71" s="8">
        <f>2026-Table13[[#This Row],[What is your year of birth? ]]</f>
        <v>40</v>
      </c>
      <c r="AH71">
        <f>2026-Table13[[#This Row],[Please indicate the year you graduated from the Faculty of Medicine]]</f>
        <v>17</v>
      </c>
      <c r="AI71">
        <f t="shared" si="17"/>
        <v>0</v>
      </c>
      <c r="AJ71">
        <f t="shared" si="18"/>
        <v>1</v>
      </c>
      <c r="AK71">
        <f t="shared" si="19"/>
        <v>1</v>
      </c>
      <c r="AL71">
        <f t="shared" si="20"/>
        <v>0</v>
      </c>
      <c r="AM71">
        <f t="shared" si="21"/>
        <v>1</v>
      </c>
      <c r="AN71">
        <f t="shared" si="22"/>
        <v>0</v>
      </c>
      <c r="AO71">
        <f t="shared" si="23"/>
        <v>0</v>
      </c>
      <c r="AP71">
        <f t="shared" si="24"/>
        <v>0</v>
      </c>
      <c r="AQ71">
        <f t="shared" si="25"/>
        <v>1</v>
      </c>
      <c r="AR71">
        <f t="shared" si="26"/>
        <v>1</v>
      </c>
      <c r="AS71">
        <f t="shared" si="27"/>
        <v>1</v>
      </c>
      <c r="AT71">
        <f t="shared" si="28"/>
        <v>0</v>
      </c>
      <c r="AU71">
        <f t="shared" si="29"/>
        <v>1</v>
      </c>
      <c r="AV71">
        <f t="shared" si="30"/>
        <v>0</v>
      </c>
      <c r="AW71">
        <f t="shared" si="31"/>
        <v>1</v>
      </c>
      <c r="AX71">
        <f t="shared" si="32"/>
        <v>8</v>
      </c>
      <c r="AY71">
        <f>IF(Table13[[#This Row],[Please choose your sex]]="Male",0,1)</f>
        <v>0</v>
      </c>
      <c r="AZ71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71">
        <f>IF(Table13[[#This Row],[Do you hold a subspecialty qualification (degree / certificate) in Reproductive Endocrinology and Infertility?
]]="No",0,1)</f>
        <v>1</v>
      </c>
      <c r="BB71">
        <f>IF(Table13[[#This Row],[Do you provide clinical care for the management of infertility?]]="No",0,1)</f>
        <v>1</v>
      </c>
      <c r="BC71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71">
        <f>IF(Table13[[#This Row],[Do you have access to evidence-based clinical guidelines at your workplace?]]="No",0,1)</f>
        <v>1</v>
      </c>
      <c r="BE71">
        <f>IF(OR(Table13[[#This Row],[What is your practice setting? (Select all that apply.)]]="University hospital ;",Table13[[#This Row],[What is your practice setting? (Select all that apply.)]]="Public hospital ;"),1,0)</f>
        <v>1</v>
      </c>
      <c r="BF71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72" spans="1:58" ht="16" x14ac:dyDescent="0.2">
      <c r="A72" s="4">
        <v>53</v>
      </c>
      <c r="B72" s="5">
        <v>46125.966377314813</v>
      </c>
      <c r="C72" s="5">
        <v>46125.968287037038</v>
      </c>
      <c r="D72" s="4" t="s">
        <v>29</v>
      </c>
      <c r="E72" s="6">
        <v>1994</v>
      </c>
      <c r="F72" s="4" t="s">
        <v>30</v>
      </c>
      <c r="G72" s="6">
        <v>2018</v>
      </c>
      <c r="H72" s="4" t="s">
        <v>50</v>
      </c>
      <c r="I72" s="4" t="s">
        <v>32</v>
      </c>
      <c r="J72" s="4" t="s">
        <v>33</v>
      </c>
      <c r="K72" s="4" t="s">
        <v>66</v>
      </c>
      <c r="L72" s="4" t="s">
        <v>64</v>
      </c>
      <c r="M72" s="4" t="s">
        <v>47</v>
      </c>
      <c r="N72" s="4" t="s">
        <v>47</v>
      </c>
      <c r="O72" s="4" t="s">
        <v>38</v>
      </c>
      <c r="P72" s="4" t="s">
        <v>36</v>
      </c>
      <c r="Q72" s="4" t="s">
        <v>39</v>
      </c>
      <c r="R72" s="4" t="s">
        <v>47</v>
      </c>
      <c r="S72" s="4" t="s">
        <v>47</v>
      </c>
      <c r="T72" s="4" t="s">
        <v>47</v>
      </c>
      <c r="U72" s="4" t="s">
        <v>39</v>
      </c>
      <c r="V72" s="4" t="s">
        <v>47</v>
      </c>
      <c r="W72" s="4" t="s">
        <v>36</v>
      </c>
      <c r="X72" s="4" t="s">
        <v>47</v>
      </c>
      <c r="Y72" s="4" t="s">
        <v>39</v>
      </c>
      <c r="Z72" s="4" t="s">
        <v>38</v>
      </c>
      <c r="AA72" s="4" t="s">
        <v>47</v>
      </c>
      <c r="AB72" s="4" t="s">
        <v>33</v>
      </c>
      <c r="AC72" s="4" t="s">
        <v>82</v>
      </c>
      <c r="AF72" s="7">
        <f>Table13[[#This Row],[Completion time]]-Table13[[#This Row],[Start time]]</f>
        <v>1.9097222248092294E-3</v>
      </c>
      <c r="AG72" s="8">
        <f>2026-Table13[[#This Row],[What is your year of birth? ]]</f>
        <v>32</v>
      </c>
      <c r="AH72">
        <f>2026-Table13[[#This Row],[Please indicate the year you graduated from the Faculty of Medicine]]</f>
        <v>8</v>
      </c>
      <c r="AI72">
        <f t="shared" si="17"/>
        <v>1</v>
      </c>
      <c r="AJ72">
        <f t="shared" si="18"/>
        <v>1</v>
      </c>
      <c r="AK72">
        <f t="shared" si="19"/>
        <v>1</v>
      </c>
      <c r="AL72">
        <f t="shared" si="20"/>
        <v>0</v>
      </c>
      <c r="AM72">
        <f t="shared" si="21"/>
        <v>1</v>
      </c>
      <c r="AN72">
        <f t="shared" si="22"/>
        <v>1</v>
      </c>
      <c r="AO72">
        <f t="shared" si="23"/>
        <v>1</v>
      </c>
      <c r="AP72">
        <f t="shared" si="24"/>
        <v>1</v>
      </c>
      <c r="AQ72">
        <f t="shared" si="25"/>
        <v>1</v>
      </c>
      <c r="AR72">
        <f t="shared" si="26"/>
        <v>1</v>
      </c>
      <c r="AS72">
        <f t="shared" si="27"/>
        <v>0</v>
      </c>
      <c r="AT72">
        <f t="shared" si="28"/>
        <v>1</v>
      </c>
      <c r="AU72">
        <f t="shared" si="29"/>
        <v>0</v>
      </c>
      <c r="AV72">
        <f t="shared" si="30"/>
        <v>1</v>
      </c>
      <c r="AW72">
        <f t="shared" si="31"/>
        <v>1</v>
      </c>
      <c r="AX72">
        <f t="shared" si="32"/>
        <v>12</v>
      </c>
      <c r="AY72">
        <f>IF(Table13[[#This Row],[Please choose your sex]]="Male",0,1)</f>
        <v>0</v>
      </c>
      <c r="AZ72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72">
        <f>IF(Table13[[#This Row],[Do you hold a subspecialty qualification (degree / certificate) in Reproductive Endocrinology and Infertility?
]]="No",0,1)</f>
        <v>0</v>
      </c>
      <c r="BB72">
        <f>IF(Table13[[#This Row],[Do you provide clinical care for the management of infertility?]]="No",0,1)</f>
        <v>1</v>
      </c>
      <c r="BC72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72">
        <f>IF(Table13[[#This Row],[Do you have access to evidence-based clinical guidelines at your workplace?]]="No",0,1)</f>
        <v>1</v>
      </c>
      <c r="BE72">
        <f>IF(OR(Table13[[#This Row],[What is your practice setting? (Select all that apply.)]]="University hospital ;",Table13[[#This Row],[What is your practice setting? (Select all that apply.)]]="Public hospital ;"),1,0)</f>
        <v>0</v>
      </c>
      <c r="BF72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73" spans="1:58" ht="16" x14ac:dyDescent="0.2">
      <c r="A73" s="4">
        <v>54</v>
      </c>
      <c r="B73" s="5">
        <v>46126.447638888887</v>
      </c>
      <c r="C73" s="5">
        <v>46126.448807870373</v>
      </c>
      <c r="D73" s="4" t="s">
        <v>29</v>
      </c>
      <c r="E73" s="6">
        <v>1956</v>
      </c>
      <c r="F73" s="4" t="s">
        <v>30</v>
      </c>
      <c r="G73" s="6">
        <v>1980</v>
      </c>
      <c r="H73" s="4" t="s">
        <v>50</v>
      </c>
      <c r="I73" s="4" t="s">
        <v>32</v>
      </c>
      <c r="J73" s="4" t="s">
        <v>33</v>
      </c>
      <c r="K73" s="4" t="s">
        <v>42</v>
      </c>
      <c r="L73" s="4" t="s">
        <v>83</v>
      </c>
      <c r="M73" s="4" t="s">
        <v>47</v>
      </c>
      <c r="N73" s="4" t="s">
        <v>47</v>
      </c>
      <c r="O73" s="4" t="s">
        <v>47</v>
      </c>
      <c r="P73" s="4" t="s">
        <v>37</v>
      </c>
      <c r="Q73" s="4" t="s">
        <v>39</v>
      </c>
      <c r="R73" s="4" t="s">
        <v>38</v>
      </c>
      <c r="S73" s="4" t="s">
        <v>47</v>
      </c>
      <c r="T73" s="4" t="s">
        <v>47</v>
      </c>
      <c r="U73" s="4" t="s">
        <v>39</v>
      </c>
      <c r="V73" s="4" t="s">
        <v>47</v>
      </c>
      <c r="W73" s="4" t="s">
        <v>36</v>
      </c>
      <c r="X73" s="4" t="s">
        <v>36</v>
      </c>
      <c r="Y73" s="4" t="s">
        <v>37</v>
      </c>
      <c r="Z73" s="4" t="s">
        <v>37</v>
      </c>
      <c r="AA73" s="4" t="s">
        <v>47</v>
      </c>
      <c r="AB73" s="4" t="s">
        <v>33</v>
      </c>
      <c r="AC73" s="4" t="s">
        <v>82</v>
      </c>
      <c r="AF73" s="7">
        <f>Table13[[#This Row],[Completion time]]-Table13[[#This Row],[Start time]]</f>
        <v>1.1689814855344594E-3</v>
      </c>
      <c r="AG73" s="8">
        <f>2026-Table13[[#This Row],[What is your year of birth? ]]</f>
        <v>70</v>
      </c>
      <c r="AH73">
        <f>2026-Table13[[#This Row],[Please indicate the year you graduated from the Faculty of Medicine]]</f>
        <v>46</v>
      </c>
      <c r="AI73">
        <f t="shared" si="17"/>
        <v>1</v>
      </c>
      <c r="AJ73">
        <f t="shared" si="18"/>
        <v>1</v>
      </c>
      <c r="AK73">
        <f t="shared" si="19"/>
        <v>1</v>
      </c>
      <c r="AL73">
        <f t="shared" si="20"/>
        <v>0</v>
      </c>
      <c r="AM73">
        <f t="shared" si="21"/>
        <v>1</v>
      </c>
      <c r="AN73">
        <f t="shared" si="22"/>
        <v>1</v>
      </c>
      <c r="AO73">
        <f t="shared" si="23"/>
        <v>1</v>
      </c>
      <c r="AP73">
        <f t="shared" si="24"/>
        <v>1</v>
      </c>
      <c r="AQ73">
        <f t="shared" si="25"/>
        <v>1</v>
      </c>
      <c r="AR73">
        <f t="shared" si="26"/>
        <v>1</v>
      </c>
      <c r="AS73">
        <f t="shared" si="27"/>
        <v>0</v>
      </c>
      <c r="AT73">
        <f t="shared" si="28"/>
        <v>0</v>
      </c>
      <c r="AU73">
        <f t="shared" si="29"/>
        <v>0</v>
      </c>
      <c r="AV73">
        <f t="shared" si="30"/>
        <v>0</v>
      </c>
      <c r="AW73">
        <f t="shared" si="31"/>
        <v>1</v>
      </c>
      <c r="AX73">
        <f t="shared" si="32"/>
        <v>10</v>
      </c>
      <c r="AY73">
        <f>IF(Table13[[#This Row],[Please choose your sex]]="Male",0,1)</f>
        <v>0</v>
      </c>
      <c r="AZ73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73">
        <f>IF(Table13[[#This Row],[Do you hold a subspecialty qualification (degree / certificate) in Reproductive Endocrinology and Infertility?
]]="No",0,1)</f>
        <v>0</v>
      </c>
      <c r="BB73">
        <f>IF(Table13[[#This Row],[Do you provide clinical care for the management of infertility?]]="No",0,1)</f>
        <v>1</v>
      </c>
      <c r="BC73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73">
        <f>IF(Table13[[#This Row],[Do you have access to evidence-based clinical guidelines at your workplace?]]="No",0,1)</f>
        <v>1</v>
      </c>
      <c r="BE73">
        <f>IF(OR(Table13[[#This Row],[What is your practice setting? (Select all that apply.)]]="University hospital ;",Table13[[#This Row],[What is your practice setting? (Select all that apply.)]]="Public hospital ;"),1,0)</f>
        <v>0</v>
      </c>
      <c r="BF73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74" spans="1:58" ht="16" x14ac:dyDescent="0.2">
      <c r="A74" s="4">
        <v>55</v>
      </c>
      <c r="B74" s="5">
        <v>46127.562743055554</v>
      </c>
      <c r="C74" s="5">
        <v>46127.564699074072</v>
      </c>
      <c r="D74" s="4" t="s">
        <v>29</v>
      </c>
      <c r="E74" s="6">
        <v>1992</v>
      </c>
      <c r="F74" s="4" t="s">
        <v>44</v>
      </c>
      <c r="G74" s="6">
        <v>2016</v>
      </c>
      <c r="H74" s="4" t="s">
        <v>75</v>
      </c>
      <c r="I74" s="4" t="s">
        <v>32</v>
      </c>
      <c r="J74" s="4" t="s">
        <v>33</v>
      </c>
      <c r="K74" s="4" t="s">
        <v>66</v>
      </c>
      <c r="L74" s="4" t="s">
        <v>84</v>
      </c>
      <c r="M74" s="4" t="s">
        <v>36</v>
      </c>
      <c r="N74" s="4" t="s">
        <v>36</v>
      </c>
      <c r="O74" s="4" t="s">
        <v>36</v>
      </c>
      <c r="P74" s="4" t="s">
        <v>39</v>
      </c>
      <c r="Q74" s="4" t="s">
        <v>39</v>
      </c>
      <c r="R74" s="4" t="s">
        <v>38</v>
      </c>
      <c r="S74" s="4" t="s">
        <v>36</v>
      </c>
      <c r="T74" s="4" t="s">
        <v>38</v>
      </c>
      <c r="U74" s="4" t="s">
        <v>37</v>
      </c>
      <c r="V74" s="4" t="s">
        <v>47</v>
      </c>
      <c r="W74" s="4" t="s">
        <v>36</v>
      </c>
      <c r="X74" s="4" t="s">
        <v>38</v>
      </c>
      <c r="Y74" s="4" t="s">
        <v>39</v>
      </c>
      <c r="Z74" s="4" t="s">
        <v>37</v>
      </c>
      <c r="AA74" s="4" t="s">
        <v>47</v>
      </c>
      <c r="AB74" s="4" t="s">
        <v>32</v>
      </c>
      <c r="AC74" s="4" t="s">
        <v>57</v>
      </c>
      <c r="AF74" s="7">
        <f>Table13[[#This Row],[Completion time]]-Table13[[#This Row],[Start time]]</f>
        <v>1.9560185173759237E-3</v>
      </c>
      <c r="AG74" s="8">
        <f>2026-Table13[[#This Row],[What is your year of birth? ]]</f>
        <v>34</v>
      </c>
      <c r="AH74">
        <f>2026-Table13[[#This Row],[Please indicate the year you graduated from the Faculty of Medicine]]</f>
        <v>10</v>
      </c>
      <c r="AI74">
        <f t="shared" si="17"/>
        <v>0</v>
      </c>
      <c r="AJ74">
        <f t="shared" si="18"/>
        <v>0</v>
      </c>
      <c r="AK74">
        <f t="shared" si="19"/>
        <v>0</v>
      </c>
      <c r="AL74">
        <f t="shared" si="20"/>
        <v>0</v>
      </c>
      <c r="AM74">
        <f t="shared" si="21"/>
        <v>1</v>
      </c>
      <c r="AN74">
        <f t="shared" si="22"/>
        <v>1</v>
      </c>
      <c r="AO74">
        <f t="shared" si="23"/>
        <v>0</v>
      </c>
      <c r="AP74">
        <f t="shared" si="24"/>
        <v>1</v>
      </c>
      <c r="AQ74">
        <f t="shared" si="25"/>
        <v>1</v>
      </c>
      <c r="AR74">
        <f t="shared" si="26"/>
        <v>1</v>
      </c>
      <c r="AS74">
        <f t="shared" si="27"/>
        <v>0</v>
      </c>
      <c r="AT74">
        <f t="shared" si="28"/>
        <v>1</v>
      </c>
      <c r="AU74">
        <f t="shared" si="29"/>
        <v>0</v>
      </c>
      <c r="AV74">
        <f t="shared" si="30"/>
        <v>0</v>
      </c>
      <c r="AW74">
        <f t="shared" si="31"/>
        <v>1</v>
      </c>
      <c r="AX74">
        <f t="shared" si="32"/>
        <v>7</v>
      </c>
      <c r="AY74">
        <f>IF(Table13[[#This Row],[Please choose your sex]]="Male",0,1)</f>
        <v>1</v>
      </c>
      <c r="AZ74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74">
        <f>IF(Table13[[#This Row],[Do you hold a subspecialty qualification (degree / certificate) in Reproductive Endocrinology and Infertility?
]]="No",0,1)</f>
        <v>0</v>
      </c>
      <c r="BB74">
        <f>IF(Table13[[#This Row],[Do you provide clinical care for the management of infertility?]]="No",0,1)</f>
        <v>1</v>
      </c>
      <c r="BC74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74">
        <f>IF(Table13[[#This Row],[Do you have access to evidence-based clinical guidelines at your workplace?]]="No",0,1)</f>
        <v>0</v>
      </c>
      <c r="BE74">
        <f>IF(OR(Table13[[#This Row],[What is your practice setting? (Select all that apply.)]]="University hospital ;",Table13[[#This Row],[What is your practice setting? (Select all that apply.)]]="Public hospital ;"),1,0)</f>
        <v>0</v>
      </c>
      <c r="BF74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75" spans="1:58" ht="16" x14ac:dyDescent="0.2">
      <c r="A75" s="4">
        <v>58</v>
      </c>
      <c r="B75" s="5">
        <v>46128.988043981481</v>
      </c>
      <c r="C75" s="5">
        <v>46128.991585648146</v>
      </c>
      <c r="D75" s="4" t="s">
        <v>29</v>
      </c>
      <c r="E75" s="6">
        <v>1970</v>
      </c>
      <c r="F75" s="4" t="s">
        <v>44</v>
      </c>
      <c r="G75" s="6">
        <v>1994</v>
      </c>
      <c r="H75" s="4" t="s">
        <v>53</v>
      </c>
      <c r="I75" s="4" t="s">
        <v>33</v>
      </c>
      <c r="J75" s="4" t="s">
        <v>33</v>
      </c>
      <c r="K75" s="4" t="s">
        <v>34</v>
      </c>
      <c r="L75" s="4" t="s">
        <v>74</v>
      </c>
      <c r="M75" s="4" t="s">
        <v>37</v>
      </c>
      <c r="N75" s="4" t="s">
        <v>37</v>
      </c>
      <c r="O75" s="4" t="s">
        <v>36</v>
      </c>
      <c r="P75" s="4" t="s">
        <v>36</v>
      </c>
      <c r="Q75" s="4" t="s">
        <v>37</v>
      </c>
      <c r="R75" s="4" t="s">
        <v>38</v>
      </c>
      <c r="S75" s="4" t="s">
        <v>38</v>
      </c>
      <c r="T75" s="4" t="s">
        <v>36</v>
      </c>
      <c r="U75" s="4" t="s">
        <v>37</v>
      </c>
      <c r="V75" s="4" t="s">
        <v>37</v>
      </c>
      <c r="W75" s="4" t="s">
        <v>36</v>
      </c>
      <c r="X75" s="4" t="s">
        <v>36</v>
      </c>
      <c r="Y75" s="4" t="s">
        <v>37</v>
      </c>
      <c r="Z75" s="4" t="s">
        <v>37</v>
      </c>
      <c r="AA75" s="4" t="s">
        <v>36</v>
      </c>
      <c r="AB75" s="4" t="s">
        <v>33</v>
      </c>
      <c r="AC75" s="4" t="s">
        <v>65</v>
      </c>
      <c r="AF75" s="7">
        <f>Table13[[#This Row],[Completion time]]-Table13[[#This Row],[Start time]]</f>
        <v>3.5416666651144624E-3</v>
      </c>
      <c r="AG75" s="8">
        <f>2026-Table13[[#This Row],[What is your year of birth? ]]</f>
        <v>56</v>
      </c>
      <c r="AH75">
        <f>2026-Table13[[#This Row],[Please indicate the year you graduated from the Faculty of Medicine]]</f>
        <v>32</v>
      </c>
      <c r="AI75">
        <f t="shared" si="17"/>
        <v>0</v>
      </c>
      <c r="AJ75">
        <f t="shared" si="18"/>
        <v>0</v>
      </c>
      <c r="AK75">
        <f t="shared" si="19"/>
        <v>0</v>
      </c>
      <c r="AL75">
        <f t="shared" si="20"/>
        <v>0</v>
      </c>
      <c r="AM75">
        <f t="shared" si="21"/>
        <v>1</v>
      </c>
      <c r="AN75">
        <f t="shared" si="22"/>
        <v>1</v>
      </c>
      <c r="AO75">
        <f t="shared" si="23"/>
        <v>1</v>
      </c>
      <c r="AP75">
        <f t="shared" si="24"/>
        <v>0</v>
      </c>
      <c r="AQ75">
        <f t="shared" si="25"/>
        <v>1</v>
      </c>
      <c r="AR75">
        <f t="shared" si="26"/>
        <v>0</v>
      </c>
      <c r="AS75">
        <f t="shared" si="27"/>
        <v>0</v>
      </c>
      <c r="AT75">
        <f t="shared" si="28"/>
        <v>0</v>
      </c>
      <c r="AU75">
        <f t="shared" si="29"/>
        <v>0</v>
      </c>
      <c r="AV75">
        <f t="shared" si="30"/>
        <v>0</v>
      </c>
      <c r="AW75">
        <f t="shared" si="31"/>
        <v>0</v>
      </c>
      <c r="AX75">
        <f t="shared" si="32"/>
        <v>4</v>
      </c>
      <c r="AY75">
        <f>IF(Table13[[#This Row],[Please choose your sex]]="Male",0,1)</f>
        <v>1</v>
      </c>
      <c r="AZ75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75">
        <f>IF(Table13[[#This Row],[Do you hold a subspecialty qualification (degree / certificate) in Reproductive Endocrinology and Infertility?
]]="No",0,1)</f>
        <v>1</v>
      </c>
      <c r="BB75">
        <f>IF(Table13[[#This Row],[Do you provide clinical care for the management of infertility?]]="No",0,1)</f>
        <v>1</v>
      </c>
      <c r="BC75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75">
        <f>IF(Table13[[#This Row],[Do you have access to evidence-based clinical guidelines at your workplace?]]="No",0,1)</f>
        <v>1</v>
      </c>
      <c r="BE75">
        <f>IF(OR(Table13[[#This Row],[What is your practice setting? (Select all that apply.)]]="University hospital ;",Table13[[#This Row],[What is your practice setting? (Select all that apply.)]]="Public hospital ;"),1,0)</f>
        <v>0</v>
      </c>
      <c r="BF75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76" spans="1:58" ht="16" x14ac:dyDescent="0.2">
      <c r="A76" s="4">
        <v>59</v>
      </c>
      <c r="B76" s="5">
        <v>46128.997800925928</v>
      </c>
      <c r="C76" s="5">
        <v>46129.002372685187</v>
      </c>
      <c r="D76" s="4" t="s">
        <v>29</v>
      </c>
      <c r="E76" s="6">
        <v>1964</v>
      </c>
      <c r="F76" s="4" t="s">
        <v>30</v>
      </c>
      <c r="G76" s="6">
        <v>1988</v>
      </c>
      <c r="H76" s="4" t="s">
        <v>77</v>
      </c>
      <c r="I76" s="4" t="s">
        <v>32</v>
      </c>
      <c r="J76" s="4" t="s">
        <v>33</v>
      </c>
      <c r="K76" s="4" t="s">
        <v>34</v>
      </c>
      <c r="L76" s="4" t="s">
        <v>85</v>
      </c>
      <c r="M76" s="4" t="s">
        <v>47</v>
      </c>
      <c r="N76" s="4" t="s">
        <v>47</v>
      </c>
      <c r="O76" s="4" t="s">
        <v>47</v>
      </c>
      <c r="P76" s="4" t="s">
        <v>47</v>
      </c>
      <c r="Q76" s="4" t="s">
        <v>47</v>
      </c>
      <c r="R76" s="4" t="s">
        <v>47</v>
      </c>
      <c r="S76" s="4" t="s">
        <v>47</v>
      </c>
      <c r="T76" s="4" t="s">
        <v>47</v>
      </c>
      <c r="U76" s="4" t="s">
        <v>47</v>
      </c>
      <c r="V76" s="4" t="s">
        <v>47</v>
      </c>
      <c r="W76" s="4" t="s">
        <v>47</v>
      </c>
      <c r="X76" s="4" t="s">
        <v>47</v>
      </c>
      <c r="Y76" s="4" t="s">
        <v>47</v>
      </c>
      <c r="Z76" s="4" t="s">
        <v>47</v>
      </c>
      <c r="AA76" s="4" t="s">
        <v>47</v>
      </c>
      <c r="AB76" s="4" t="s">
        <v>32</v>
      </c>
      <c r="AC76" s="4" t="s">
        <v>65</v>
      </c>
      <c r="AF76" s="7">
        <f>Table13[[#This Row],[Completion time]]-Table13[[#This Row],[Start time]]</f>
        <v>4.5717592583969235E-3</v>
      </c>
      <c r="AG76" s="8">
        <f>2026-Table13[[#This Row],[What is your year of birth? ]]</f>
        <v>62</v>
      </c>
      <c r="AH76">
        <f>2026-Table13[[#This Row],[Please indicate the year you graduated from the Faculty of Medicine]]</f>
        <v>38</v>
      </c>
      <c r="AI76">
        <f t="shared" si="17"/>
        <v>1</v>
      </c>
      <c r="AJ76">
        <f t="shared" si="18"/>
        <v>1</v>
      </c>
      <c r="AK76">
        <f t="shared" si="19"/>
        <v>1</v>
      </c>
      <c r="AL76">
        <f t="shared" si="20"/>
        <v>1</v>
      </c>
      <c r="AM76">
        <f t="shared" si="21"/>
        <v>0</v>
      </c>
      <c r="AN76">
        <f t="shared" si="22"/>
        <v>1</v>
      </c>
      <c r="AO76">
        <f t="shared" si="23"/>
        <v>1</v>
      </c>
      <c r="AP76">
        <f t="shared" si="24"/>
        <v>1</v>
      </c>
      <c r="AQ76">
        <f t="shared" si="25"/>
        <v>0</v>
      </c>
      <c r="AR76">
        <f t="shared" si="26"/>
        <v>1</v>
      </c>
      <c r="AS76">
        <f t="shared" si="27"/>
        <v>1</v>
      </c>
      <c r="AT76">
        <f t="shared" si="28"/>
        <v>1</v>
      </c>
      <c r="AU76">
        <f t="shared" si="29"/>
        <v>1</v>
      </c>
      <c r="AV76">
        <f t="shared" si="30"/>
        <v>1</v>
      </c>
      <c r="AW76">
        <f t="shared" si="31"/>
        <v>1</v>
      </c>
      <c r="AX76">
        <f t="shared" si="32"/>
        <v>13</v>
      </c>
      <c r="AY76">
        <f>IF(Table13[[#This Row],[Please choose your sex]]="Male",0,1)</f>
        <v>0</v>
      </c>
      <c r="AZ76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76">
        <f>IF(Table13[[#This Row],[Do you hold a subspecialty qualification (degree / certificate) in Reproductive Endocrinology and Infertility?
]]="No",0,1)</f>
        <v>0</v>
      </c>
      <c r="BB76">
        <f>IF(Table13[[#This Row],[Do you provide clinical care for the management of infertility?]]="No",0,1)</f>
        <v>1</v>
      </c>
      <c r="BC76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76">
        <f>IF(Table13[[#This Row],[Do you have access to evidence-based clinical guidelines at your workplace?]]="No",0,1)</f>
        <v>0</v>
      </c>
      <c r="BE76">
        <f>IF(OR(Table13[[#This Row],[What is your practice setting? (Select all that apply.)]]="University hospital ;",Table13[[#This Row],[What is your practice setting? (Select all that apply.)]]="Public hospital ;"),1,0)</f>
        <v>0</v>
      </c>
      <c r="BF76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77" spans="1:58" ht="16" x14ac:dyDescent="0.2">
      <c r="A77" s="4">
        <v>61</v>
      </c>
      <c r="B77" s="5">
        <v>46129.03634259259</v>
      </c>
      <c r="C77" s="5">
        <v>46129.042164351849</v>
      </c>
      <c r="D77" s="4" t="s">
        <v>29</v>
      </c>
      <c r="E77" s="6">
        <v>1961</v>
      </c>
      <c r="F77" s="4" t="s">
        <v>44</v>
      </c>
      <c r="G77" s="6">
        <v>1984</v>
      </c>
      <c r="H77" s="4" t="s">
        <v>45</v>
      </c>
      <c r="I77" s="4" t="s">
        <v>32</v>
      </c>
      <c r="J77" s="4" t="s">
        <v>33</v>
      </c>
      <c r="K77" s="4" t="s">
        <v>42</v>
      </c>
      <c r="L77" s="4" t="s">
        <v>70</v>
      </c>
      <c r="M77" s="4" t="s">
        <v>37</v>
      </c>
      <c r="N77" s="4" t="s">
        <v>37</v>
      </c>
      <c r="O77" s="4" t="s">
        <v>37</v>
      </c>
      <c r="P77" s="4" t="s">
        <v>37</v>
      </c>
      <c r="Q77" s="4" t="s">
        <v>37</v>
      </c>
      <c r="R77" s="4" t="s">
        <v>37</v>
      </c>
      <c r="S77" s="4" t="s">
        <v>37</v>
      </c>
      <c r="T77" s="4" t="s">
        <v>36</v>
      </c>
      <c r="U77" s="4" t="s">
        <v>37</v>
      </c>
      <c r="V77" s="4" t="s">
        <v>37</v>
      </c>
      <c r="W77" s="4" t="s">
        <v>36</v>
      </c>
      <c r="X77" s="4" t="s">
        <v>36</v>
      </c>
      <c r="Y77" s="4" t="s">
        <v>36</v>
      </c>
      <c r="Z77" s="4" t="s">
        <v>37</v>
      </c>
      <c r="AA77" s="4" t="s">
        <v>36</v>
      </c>
      <c r="AB77" s="4" t="s">
        <v>33</v>
      </c>
      <c r="AC77" s="4" t="s">
        <v>40</v>
      </c>
      <c r="AF77" s="7">
        <f>Table13[[#This Row],[Completion time]]-Table13[[#This Row],[Start time]]</f>
        <v>5.8217592595610768E-3</v>
      </c>
      <c r="AG77" s="8">
        <f>2026-Table13[[#This Row],[What is your year of birth? ]]</f>
        <v>65</v>
      </c>
      <c r="AH77">
        <f>2026-Table13[[#This Row],[Please indicate the year you graduated from the Faculty of Medicine]]</f>
        <v>42</v>
      </c>
      <c r="AI77">
        <f t="shared" si="17"/>
        <v>0</v>
      </c>
      <c r="AJ77">
        <f t="shared" si="18"/>
        <v>0</v>
      </c>
      <c r="AK77">
        <f t="shared" si="19"/>
        <v>0</v>
      </c>
      <c r="AL77">
        <f t="shared" si="20"/>
        <v>0</v>
      </c>
      <c r="AM77">
        <f t="shared" si="21"/>
        <v>1</v>
      </c>
      <c r="AN77">
        <f t="shared" si="22"/>
        <v>0</v>
      </c>
      <c r="AO77">
        <f t="shared" si="23"/>
        <v>0</v>
      </c>
      <c r="AP77">
        <f t="shared" si="24"/>
        <v>0</v>
      </c>
      <c r="AQ77">
        <f t="shared" si="25"/>
        <v>1</v>
      </c>
      <c r="AR77">
        <f t="shared" si="26"/>
        <v>0</v>
      </c>
      <c r="AS77">
        <f t="shared" si="27"/>
        <v>0</v>
      </c>
      <c r="AT77">
        <f t="shared" si="28"/>
        <v>0</v>
      </c>
      <c r="AU77">
        <f t="shared" si="29"/>
        <v>0</v>
      </c>
      <c r="AV77">
        <f t="shared" si="30"/>
        <v>0</v>
      </c>
      <c r="AW77">
        <f t="shared" si="31"/>
        <v>0</v>
      </c>
      <c r="AX77">
        <f t="shared" si="32"/>
        <v>2</v>
      </c>
      <c r="AY77">
        <f>IF(Table13[[#This Row],[Please choose your sex]]="Male",0,1)</f>
        <v>1</v>
      </c>
      <c r="AZ77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77">
        <f>IF(Table13[[#This Row],[Do you hold a subspecialty qualification (degree / certificate) in Reproductive Endocrinology and Infertility?
]]="No",0,1)</f>
        <v>0</v>
      </c>
      <c r="BB77">
        <f>IF(Table13[[#This Row],[Do you provide clinical care for the management of infertility?]]="No",0,1)</f>
        <v>1</v>
      </c>
      <c r="BC77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77">
        <f>IF(Table13[[#This Row],[Do you have access to evidence-based clinical guidelines at your workplace?]]="No",0,1)</f>
        <v>1</v>
      </c>
      <c r="BE77">
        <f>IF(OR(Table13[[#This Row],[What is your practice setting? (Select all that apply.)]]="University hospital ;",Table13[[#This Row],[What is your practice setting? (Select all that apply.)]]="Public hospital ;"),1,0)</f>
        <v>1</v>
      </c>
      <c r="BF77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78" spans="1:58" ht="16" x14ac:dyDescent="0.2">
      <c r="A78" s="4">
        <v>62</v>
      </c>
      <c r="B78" s="5">
        <v>46129.203796296293</v>
      </c>
      <c r="C78" s="5">
        <v>46129.211192129631</v>
      </c>
      <c r="D78" s="4" t="s">
        <v>29</v>
      </c>
      <c r="E78" s="6">
        <v>1962</v>
      </c>
      <c r="F78" s="4" t="s">
        <v>44</v>
      </c>
      <c r="G78" s="6">
        <v>1988</v>
      </c>
      <c r="H78" s="4" t="s">
        <v>86</v>
      </c>
      <c r="I78" s="4" t="s">
        <v>32</v>
      </c>
      <c r="J78" s="4" t="s">
        <v>33</v>
      </c>
      <c r="K78" s="4" t="s">
        <v>34</v>
      </c>
      <c r="L78" s="4" t="s">
        <v>79</v>
      </c>
      <c r="M78" s="4" t="s">
        <v>39</v>
      </c>
      <c r="N78" s="4" t="s">
        <v>37</v>
      </c>
      <c r="O78" s="4" t="s">
        <v>37</v>
      </c>
      <c r="P78" s="4" t="s">
        <v>37</v>
      </c>
      <c r="Q78" s="4" t="s">
        <v>37</v>
      </c>
      <c r="R78" s="4" t="s">
        <v>37</v>
      </c>
      <c r="S78" s="4" t="s">
        <v>37</v>
      </c>
      <c r="T78" s="4" t="s">
        <v>37</v>
      </c>
      <c r="U78" s="4" t="s">
        <v>37</v>
      </c>
      <c r="V78" s="4" t="s">
        <v>37</v>
      </c>
      <c r="W78" s="4" t="s">
        <v>37</v>
      </c>
      <c r="X78" s="4" t="s">
        <v>36</v>
      </c>
      <c r="Y78" s="4" t="s">
        <v>37</v>
      </c>
      <c r="Z78" s="4" t="s">
        <v>39</v>
      </c>
      <c r="AA78" s="4" t="s">
        <v>37</v>
      </c>
      <c r="AB78" s="4" t="s">
        <v>32</v>
      </c>
      <c r="AC78" s="4" t="s">
        <v>87</v>
      </c>
      <c r="AF78" s="7">
        <f>Table13[[#This Row],[Completion time]]-Table13[[#This Row],[Start time]]</f>
        <v>7.3958333377959207E-3</v>
      </c>
      <c r="AG78" s="8">
        <f>2026-Table13[[#This Row],[What is your year of birth? ]]</f>
        <v>64</v>
      </c>
      <c r="AH78">
        <f>2026-Table13[[#This Row],[Please indicate the year you graduated from the Faculty of Medicine]]</f>
        <v>38</v>
      </c>
      <c r="AI78">
        <f t="shared" si="17"/>
        <v>0</v>
      </c>
      <c r="AJ78">
        <f t="shared" si="18"/>
        <v>0</v>
      </c>
      <c r="AK78">
        <f t="shared" si="19"/>
        <v>0</v>
      </c>
      <c r="AL78">
        <f t="shared" si="20"/>
        <v>0</v>
      </c>
      <c r="AM78">
        <f t="shared" si="21"/>
        <v>1</v>
      </c>
      <c r="AN78">
        <f t="shared" si="22"/>
        <v>0</v>
      </c>
      <c r="AO78">
        <f t="shared" si="23"/>
        <v>0</v>
      </c>
      <c r="AP78">
        <f t="shared" si="24"/>
        <v>0</v>
      </c>
      <c r="AQ78">
        <f t="shared" si="25"/>
        <v>1</v>
      </c>
      <c r="AR78">
        <f t="shared" si="26"/>
        <v>0</v>
      </c>
      <c r="AS78">
        <f t="shared" si="27"/>
        <v>0</v>
      </c>
      <c r="AT78">
        <f t="shared" si="28"/>
        <v>0</v>
      </c>
      <c r="AU78">
        <f t="shared" si="29"/>
        <v>0</v>
      </c>
      <c r="AV78">
        <f t="shared" si="30"/>
        <v>0</v>
      </c>
      <c r="AW78">
        <f t="shared" si="31"/>
        <v>0</v>
      </c>
      <c r="AX78">
        <f t="shared" si="32"/>
        <v>2</v>
      </c>
      <c r="AY78">
        <f>IF(Table13[[#This Row],[Please choose your sex]]="Male",0,1)</f>
        <v>1</v>
      </c>
      <c r="AZ78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78">
        <f>IF(Table13[[#This Row],[Do you hold a subspecialty qualification (degree / certificate) in Reproductive Endocrinology and Infertility?
]]="No",0,1)</f>
        <v>0</v>
      </c>
      <c r="BB78">
        <f>IF(Table13[[#This Row],[Do you provide clinical care for the management of infertility?]]="No",0,1)</f>
        <v>1</v>
      </c>
      <c r="BC78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78">
        <f>IF(Table13[[#This Row],[Do you have access to evidence-based clinical guidelines at your workplace?]]="No",0,1)</f>
        <v>0</v>
      </c>
      <c r="BE78">
        <f>IF(OR(Table13[[#This Row],[What is your practice setting? (Select all that apply.)]]="University hospital ;",Table13[[#This Row],[What is your practice setting? (Select all that apply.)]]="Public hospital ;"),1,0)</f>
        <v>0</v>
      </c>
      <c r="BF78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79" spans="1:58" ht="16" x14ac:dyDescent="0.2">
      <c r="A79" s="4">
        <v>64</v>
      </c>
      <c r="B79" s="5">
        <v>46129.426944444444</v>
      </c>
      <c r="C79" s="5">
        <v>46129.430023148147</v>
      </c>
      <c r="D79" s="4" t="s">
        <v>29</v>
      </c>
      <c r="E79" s="6">
        <v>1962</v>
      </c>
      <c r="F79" s="4" t="s">
        <v>44</v>
      </c>
      <c r="G79" s="6">
        <v>1987</v>
      </c>
      <c r="H79" s="4" t="s">
        <v>88</v>
      </c>
      <c r="I79" s="4" t="s">
        <v>32</v>
      </c>
      <c r="J79" s="4" t="s">
        <v>33</v>
      </c>
      <c r="K79" s="4" t="s">
        <v>42</v>
      </c>
      <c r="L79" s="4" t="s">
        <v>72</v>
      </c>
      <c r="M79" s="4" t="s">
        <v>39</v>
      </c>
      <c r="N79" s="4" t="s">
        <v>36</v>
      </c>
      <c r="O79" s="4" t="s">
        <v>36</v>
      </c>
      <c r="P79" s="4" t="s">
        <v>37</v>
      </c>
      <c r="Q79" s="4" t="s">
        <v>37</v>
      </c>
      <c r="R79" s="4" t="s">
        <v>37</v>
      </c>
      <c r="S79" s="4" t="s">
        <v>36</v>
      </c>
      <c r="T79" s="4" t="s">
        <v>38</v>
      </c>
      <c r="U79" s="4" t="s">
        <v>38</v>
      </c>
      <c r="V79" s="4" t="s">
        <v>36</v>
      </c>
      <c r="W79" s="4" t="s">
        <v>38</v>
      </c>
      <c r="X79" s="4" t="s">
        <v>36</v>
      </c>
      <c r="Y79" s="4" t="s">
        <v>36</v>
      </c>
      <c r="Z79" s="4" t="s">
        <v>39</v>
      </c>
      <c r="AA79" s="4" t="s">
        <v>38</v>
      </c>
      <c r="AB79" s="4" t="s">
        <v>32</v>
      </c>
      <c r="AC79" s="4" t="s">
        <v>52</v>
      </c>
      <c r="AF79" s="7">
        <f>Table13[[#This Row],[Completion time]]-Table13[[#This Row],[Start time]]</f>
        <v>3.0787037030677311E-3</v>
      </c>
      <c r="AG79" s="8">
        <f>2026-Table13[[#This Row],[What is your year of birth? ]]</f>
        <v>64</v>
      </c>
      <c r="AH79">
        <f>2026-Table13[[#This Row],[Please indicate the year you graduated from the Faculty of Medicine]]</f>
        <v>39</v>
      </c>
      <c r="AI79">
        <f t="shared" si="17"/>
        <v>0</v>
      </c>
      <c r="AJ79">
        <f t="shared" si="18"/>
        <v>0</v>
      </c>
      <c r="AK79">
        <f t="shared" si="19"/>
        <v>0</v>
      </c>
      <c r="AL79">
        <f t="shared" si="20"/>
        <v>0</v>
      </c>
      <c r="AM79">
        <f t="shared" si="21"/>
        <v>1</v>
      </c>
      <c r="AN79">
        <f t="shared" si="22"/>
        <v>0</v>
      </c>
      <c r="AO79">
        <f t="shared" si="23"/>
        <v>0</v>
      </c>
      <c r="AP79">
        <f t="shared" si="24"/>
        <v>1</v>
      </c>
      <c r="AQ79">
        <f t="shared" si="25"/>
        <v>0</v>
      </c>
      <c r="AR79">
        <f t="shared" si="26"/>
        <v>0</v>
      </c>
      <c r="AS79">
        <f t="shared" si="27"/>
        <v>1</v>
      </c>
      <c r="AT79">
        <f t="shared" si="28"/>
        <v>0</v>
      </c>
      <c r="AU79">
        <f t="shared" si="29"/>
        <v>0</v>
      </c>
      <c r="AV79">
        <f t="shared" si="30"/>
        <v>0</v>
      </c>
      <c r="AW79">
        <f t="shared" si="31"/>
        <v>1</v>
      </c>
      <c r="AX79">
        <f t="shared" si="32"/>
        <v>4</v>
      </c>
      <c r="AY79">
        <f>IF(Table13[[#This Row],[Please choose your sex]]="Male",0,1)</f>
        <v>1</v>
      </c>
      <c r="AZ79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79">
        <f>IF(Table13[[#This Row],[Do you hold a subspecialty qualification (degree / certificate) in Reproductive Endocrinology and Infertility?
]]="No",0,1)</f>
        <v>0</v>
      </c>
      <c r="BB79">
        <f>IF(Table13[[#This Row],[Do you provide clinical care for the management of infertility?]]="No",0,1)</f>
        <v>1</v>
      </c>
      <c r="BC79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79">
        <f>IF(Table13[[#This Row],[Do you have access to evidence-based clinical guidelines at your workplace?]]="No",0,1)</f>
        <v>0</v>
      </c>
      <c r="BE79">
        <f>IF(OR(Table13[[#This Row],[What is your practice setting? (Select all that apply.)]]="University hospital ;",Table13[[#This Row],[What is your practice setting? (Select all that apply.)]]="Public hospital ;"),1,0)</f>
        <v>0</v>
      </c>
      <c r="BF79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80" spans="1:58" ht="16" x14ac:dyDescent="0.2">
      <c r="A80" s="4">
        <v>65</v>
      </c>
      <c r="B80" s="5">
        <v>46129.504155092596</v>
      </c>
      <c r="C80" s="5">
        <v>46129.510277777779</v>
      </c>
      <c r="D80" s="4" t="s">
        <v>29</v>
      </c>
      <c r="E80" s="6">
        <v>1964</v>
      </c>
      <c r="F80" s="4" t="s">
        <v>44</v>
      </c>
      <c r="G80" s="6">
        <v>1999</v>
      </c>
      <c r="H80" s="4" t="s">
        <v>50</v>
      </c>
      <c r="I80" s="4" t="s">
        <v>32</v>
      </c>
      <c r="J80" s="4" t="s">
        <v>33</v>
      </c>
      <c r="K80" s="4" t="s">
        <v>42</v>
      </c>
      <c r="L80" s="4" t="s">
        <v>72</v>
      </c>
      <c r="M80" s="4" t="s">
        <v>38</v>
      </c>
      <c r="N80" s="4" t="s">
        <v>38</v>
      </c>
      <c r="O80" s="4" t="s">
        <v>38</v>
      </c>
      <c r="P80" s="4" t="s">
        <v>37</v>
      </c>
      <c r="Q80" s="4" t="s">
        <v>37</v>
      </c>
      <c r="R80" s="4" t="s">
        <v>38</v>
      </c>
      <c r="S80" s="4" t="s">
        <v>38</v>
      </c>
      <c r="T80" s="4" t="s">
        <v>38</v>
      </c>
      <c r="U80" s="4" t="s">
        <v>37</v>
      </c>
      <c r="V80" s="4" t="s">
        <v>38</v>
      </c>
      <c r="W80" s="4" t="s">
        <v>38</v>
      </c>
      <c r="X80" s="4" t="s">
        <v>38</v>
      </c>
      <c r="Y80" s="4" t="s">
        <v>38</v>
      </c>
      <c r="Z80" s="4" t="s">
        <v>37</v>
      </c>
      <c r="AA80" s="4" t="s">
        <v>38</v>
      </c>
      <c r="AB80" s="4" t="s">
        <v>32</v>
      </c>
      <c r="AC80" s="4" t="s">
        <v>52</v>
      </c>
      <c r="AF80" s="7">
        <f>Table13[[#This Row],[Completion time]]-Table13[[#This Row],[Start time]]</f>
        <v>6.1226851830724627E-3</v>
      </c>
      <c r="AG80" s="8">
        <f>2026-Table13[[#This Row],[What is your year of birth? ]]</f>
        <v>62</v>
      </c>
      <c r="AH80">
        <f>2026-Table13[[#This Row],[Please indicate the year you graduated from the Faculty of Medicine]]</f>
        <v>27</v>
      </c>
      <c r="AI80">
        <f t="shared" si="17"/>
        <v>1</v>
      </c>
      <c r="AJ80">
        <f t="shared" si="18"/>
        <v>1</v>
      </c>
      <c r="AK80">
        <f t="shared" si="19"/>
        <v>1</v>
      </c>
      <c r="AL80">
        <f t="shared" si="20"/>
        <v>0</v>
      </c>
      <c r="AM80">
        <f t="shared" si="21"/>
        <v>1</v>
      </c>
      <c r="AN80">
        <f t="shared" si="22"/>
        <v>1</v>
      </c>
      <c r="AO80">
        <f t="shared" si="23"/>
        <v>1</v>
      </c>
      <c r="AP80">
        <f t="shared" si="24"/>
        <v>1</v>
      </c>
      <c r="AQ80">
        <f t="shared" si="25"/>
        <v>1</v>
      </c>
      <c r="AR80">
        <f t="shared" si="26"/>
        <v>1</v>
      </c>
      <c r="AS80">
        <f t="shared" si="27"/>
        <v>1</v>
      </c>
      <c r="AT80">
        <f t="shared" si="28"/>
        <v>1</v>
      </c>
      <c r="AU80">
        <f t="shared" si="29"/>
        <v>1</v>
      </c>
      <c r="AV80">
        <f t="shared" si="30"/>
        <v>0</v>
      </c>
      <c r="AW80">
        <f t="shared" si="31"/>
        <v>1</v>
      </c>
      <c r="AX80">
        <f t="shared" si="32"/>
        <v>13</v>
      </c>
      <c r="AY80">
        <f>IF(Table13[[#This Row],[Please choose your sex]]="Male",0,1)</f>
        <v>1</v>
      </c>
      <c r="AZ80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80">
        <f>IF(Table13[[#This Row],[Do you hold a subspecialty qualification (degree / certificate) in Reproductive Endocrinology and Infertility?
]]="No",0,1)</f>
        <v>0</v>
      </c>
      <c r="BB80">
        <f>IF(Table13[[#This Row],[Do you provide clinical care for the management of infertility?]]="No",0,1)</f>
        <v>1</v>
      </c>
      <c r="BC80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80">
        <f>IF(Table13[[#This Row],[Do you have access to evidence-based clinical guidelines at your workplace?]]="No",0,1)</f>
        <v>0</v>
      </c>
      <c r="BE80">
        <f>IF(OR(Table13[[#This Row],[What is your practice setting? (Select all that apply.)]]="University hospital ;",Table13[[#This Row],[What is your practice setting? (Select all that apply.)]]="Public hospital ;"),1,0)</f>
        <v>0</v>
      </c>
      <c r="BF80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81" spans="1:58" ht="16" x14ac:dyDescent="0.2">
      <c r="A81" s="4">
        <v>66</v>
      </c>
      <c r="B81" s="5">
        <v>46129.51390046296</v>
      </c>
      <c r="C81" s="5">
        <v>46129.515879629631</v>
      </c>
      <c r="D81" s="4" t="s">
        <v>29</v>
      </c>
      <c r="E81" s="6">
        <v>1969</v>
      </c>
      <c r="F81" s="4" t="s">
        <v>44</v>
      </c>
      <c r="G81" s="6">
        <v>1992</v>
      </c>
      <c r="H81" s="4" t="s">
        <v>89</v>
      </c>
      <c r="I81" s="4" t="s">
        <v>32</v>
      </c>
      <c r="J81" s="4" t="s">
        <v>33</v>
      </c>
      <c r="K81" s="4" t="s">
        <v>42</v>
      </c>
      <c r="L81" s="4" t="s">
        <v>62</v>
      </c>
      <c r="M81" s="4" t="s">
        <v>37</v>
      </c>
      <c r="N81" s="4" t="s">
        <v>37</v>
      </c>
      <c r="O81" s="4" t="s">
        <v>36</v>
      </c>
      <c r="P81" s="4" t="s">
        <v>36</v>
      </c>
      <c r="Q81" s="4" t="s">
        <v>39</v>
      </c>
      <c r="R81" s="4" t="s">
        <v>37</v>
      </c>
      <c r="S81" s="4" t="s">
        <v>38</v>
      </c>
      <c r="T81" s="4" t="s">
        <v>39</v>
      </c>
      <c r="U81" s="4" t="s">
        <v>39</v>
      </c>
      <c r="V81" s="4" t="s">
        <v>36</v>
      </c>
      <c r="W81" s="4" t="s">
        <v>36</v>
      </c>
      <c r="X81" s="4" t="s">
        <v>38</v>
      </c>
      <c r="Y81" s="4" t="s">
        <v>37</v>
      </c>
      <c r="Z81" s="4" t="s">
        <v>37</v>
      </c>
      <c r="AA81" s="4" t="s">
        <v>47</v>
      </c>
      <c r="AB81" s="4" t="s">
        <v>33</v>
      </c>
      <c r="AC81" s="4" t="s">
        <v>40</v>
      </c>
      <c r="AF81" s="7">
        <f>Table13[[#This Row],[Completion time]]-Table13[[#This Row],[Start time]]</f>
        <v>1.9791666709352285E-3</v>
      </c>
      <c r="AG81" s="8">
        <f>2026-Table13[[#This Row],[What is your year of birth? ]]</f>
        <v>57</v>
      </c>
      <c r="AH81">
        <f>2026-Table13[[#This Row],[Please indicate the year you graduated from the Faculty of Medicine]]</f>
        <v>34</v>
      </c>
      <c r="AI81">
        <f t="shared" si="17"/>
        <v>0</v>
      </c>
      <c r="AJ81">
        <f t="shared" si="18"/>
        <v>0</v>
      </c>
      <c r="AK81">
        <f t="shared" si="19"/>
        <v>0</v>
      </c>
      <c r="AL81">
        <f t="shared" si="20"/>
        <v>0</v>
      </c>
      <c r="AM81">
        <f t="shared" si="21"/>
        <v>1</v>
      </c>
      <c r="AN81">
        <f t="shared" si="22"/>
        <v>0</v>
      </c>
      <c r="AO81">
        <f t="shared" si="23"/>
        <v>1</v>
      </c>
      <c r="AP81">
        <f t="shared" si="24"/>
        <v>0</v>
      </c>
      <c r="AQ81">
        <f t="shared" si="25"/>
        <v>1</v>
      </c>
      <c r="AR81">
        <f t="shared" si="26"/>
        <v>0</v>
      </c>
      <c r="AS81">
        <f t="shared" si="27"/>
        <v>0</v>
      </c>
      <c r="AT81">
        <f t="shared" si="28"/>
        <v>1</v>
      </c>
      <c r="AU81">
        <f t="shared" si="29"/>
        <v>0</v>
      </c>
      <c r="AV81">
        <f t="shared" si="30"/>
        <v>0</v>
      </c>
      <c r="AW81">
        <f t="shared" si="31"/>
        <v>1</v>
      </c>
      <c r="AX81">
        <f t="shared" si="32"/>
        <v>5</v>
      </c>
      <c r="AY81">
        <f>IF(Table13[[#This Row],[Please choose your sex]]="Male",0,1)</f>
        <v>1</v>
      </c>
      <c r="AZ81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81">
        <f>IF(Table13[[#This Row],[Do you hold a subspecialty qualification (degree / certificate) in Reproductive Endocrinology and Infertility?
]]="No",0,1)</f>
        <v>0</v>
      </c>
      <c r="BB81">
        <f>IF(Table13[[#This Row],[Do you provide clinical care for the management of infertility?]]="No",0,1)</f>
        <v>1</v>
      </c>
      <c r="BC81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81">
        <f>IF(Table13[[#This Row],[Do you have access to evidence-based clinical guidelines at your workplace?]]="No",0,1)</f>
        <v>1</v>
      </c>
      <c r="BE81">
        <f>IF(OR(Table13[[#This Row],[What is your practice setting? (Select all that apply.)]]="University hospital ;",Table13[[#This Row],[What is your practice setting? (Select all that apply.)]]="Public hospital ;"),1,0)</f>
        <v>0</v>
      </c>
      <c r="BF81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82" spans="1:58" ht="16" x14ac:dyDescent="0.2">
      <c r="A82" s="4">
        <v>67</v>
      </c>
      <c r="B82" s="5">
        <v>46129.526319444441</v>
      </c>
      <c r="C82" s="5">
        <v>46129.530729166669</v>
      </c>
      <c r="D82" s="4" t="s">
        <v>29</v>
      </c>
      <c r="E82" s="6">
        <v>1965</v>
      </c>
      <c r="F82" s="4" t="s">
        <v>44</v>
      </c>
      <c r="G82" s="6">
        <v>1997</v>
      </c>
      <c r="H82" s="4" t="s">
        <v>50</v>
      </c>
      <c r="I82" s="4" t="s">
        <v>32</v>
      </c>
      <c r="J82" s="4" t="s">
        <v>33</v>
      </c>
      <c r="K82" s="4" t="s">
        <v>42</v>
      </c>
      <c r="L82" s="4" t="s">
        <v>72</v>
      </c>
      <c r="M82" s="4" t="s">
        <v>38</v>
      </c>
      <c r="N82" s="4" t="s">
        <v>38</v>
      </c>
      <c r="O82" s="4" t="s">
        <v>37</v>
      </c>
      <c r="P82" s="4" t="s">
        <v>37</v>
      </c>
      <c r="Q82" s="4" t="s">
        <v>39</v>
      </c>
      <c r="R82" s="4" t="s">
        <v>38</v>
      </c>
      <c r="S82" s="4" t="s">
        <v>38</v>
      </c>
      <c r="T82" s="4" t="s">
        <v>38</v>
      </c>
      <c r="U82" s="4" t="s">
        <v>37</v>
      </c>
      <c r="V82" s="4" t="s">
        <v>38</v>
      </c>
      <c r="W82" s="4" t="s">
        <v>38</v>
      </c>
      <c r="X82" s="4" t="s">
        <v>38</v>
      </c>
      <c r="Y82" s="4" t="s">
        <v>38</v>
      </c>
      <c r="Z82" s="4" t="s">
        <v>37</v>
      </c>
      <c r="AA82" s="4" t="s">
        <v>38</v>
      </c>
      <c r="AB82" s="4" t="s">
        <v>32</v>
      </c>
      <c r="AC82" s="4" t="s">
        <v>52</v>
      </c>
      <c r="AF82" s="7">
        <f>Table13[[#This Row],[Completion time]]-Table13[[#This Row],[Start time]]</f>
        <v>4.4097222271375358E-3</v>
      </c>
      <c r="AG82" s="8">
        <f>2026-Table13[[#This Row],[What is your year of birth? ]]</f>
        <v>61</v>
      </c>
      <c r="AH82">
        <f>2026-Table13[[#This Row],[Please indicate the year you graduated from the Faculty of Medicine]]</f>
        <v>29</v>
      </c>
      <c r="AI82">
        <f t="shared" si="17"/>
        <v>1</v>
      </c>
      <c r="AJ82">
        <f t="shared" si="18"/>
        <v>1</v>
      </c>
      <c r="AK82">
        <f t="shared" si="19"/>
        <v>0</v>
      </c>
      <c r="AL82">
        <f t="shared" si="20"/>
        <v>0</v>
      </c>
      <c r="AM82">
        <f t="shared" si="21"/>
        <v>1</v>
      </c>
      <c r="AN82">
        <f t="shared" si="22"/>
        <v>1</v>
      </c>
      <c r="AO82">
        <f t="shared" si="23"/>
        <v>1</v>
      </c>
      <c r="AP82">
        <f t="shared" si="24"/>
        <v>1</v>
      </c>
      <c r="AQ82">
        <f t="shared" si="25"/>
        <v>1</v>
      </c>
      <c r="AR82">
        <f t="shared" si="26"/>
        <v>1</v>
      </c>
      <c r="AS82">
        <f t="shared" si="27"/>
        <v>1</v>
      </c>
      <c r="AT82">
        <f t="shared" si="28"/>
        <v>1</v>
      </c>
      <c r="AU82">
        <f t="shared" si="29"/>
        <v>1</v>
      </c>
      <c r="AV82">
        <f t="shared" si="30"/>
        <v>0</v>
      </c>
      <c r="AW82">
        <f t="shared" si="31"/>
        <v>1</v>
      </c>
      <c r="AX82">
        <f t="shared" si="32"/>
        <v>12</v>
      </c>
      <c r="AY82">
        <f>IF(Table13[[#This Row],[Please choose your sex]]="Male",0,1)</f>
        <v>1</v>
      </c>
      <c r="AZ82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82">
        <f>IF(Table13[[#This Row],[Do you hold a subspecialty qualification (degree / certificate) in Reproductive Endocrinology and Infertility?
]]="No",0,1)</f>
        <v>0</v>
      </c>
      <c r="BB82">
        <f>IF(Table13[[#This Row],[Do you provide clinical care for the management of infertility?]]="No",0,1)</f>
        <v>1</v>
      </c>
      <c r="BC82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82">
        <f>IF(Table13[[#This Row],[Do you have access to evidence-based clinical guidelines at your workplace?]]="No",0,1)</f>
        <v>0</v>
      </c>
      <c r="BE82">
        <f>IF(OR(Table13[[#This Row],[What is your practice setting? (Select all that apply.)]]="University hospital ;",Table13[[#This Row],[What is your practice setting? (Select all that apply.)]]="Public hospital ;"),1,0)</f>
        <v>0</v>
      </c>
      <c r="BF82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83" spans="1:58" ht="16" x14ac:dyDescent="0.2">
      <c r="A83" s="4">
        <v>68</v>
      </c>
      <c r="B83" s="5">
        <v>46129.53261574074</v>
      </c>
      <c r="C83" s="5">
        <v>46129.534548611111</v>
      </c>
      <c r="D83" s="4" t="s">
        <v>29</v>
      </c>
      <c r="E83" s="6">
        <v>1965</v>
      </c>
      <c r="F83" s="4" t="s">
        <v>44</v>
      </c>
      <c r="G83" s="6">
        <v>1997</v>
      </c>
      <c r="H83" s="4" t="s">
        <v>50</v>
      </c>
      <c r="I83" s="4" t="s">
        <v>32</v>
      </c>
      <c r="J83" s="4" t="s">
        <v>33</v>
      </c>
      <c r="K83" s="4" t="s">
        <v>42</v>
      </c>
      <c r="L83" s="4" t="s">
        <v>72</v>
      </c>
      <c r="M83" s="4" t="s">
        <v>38</v>
      </c>
      <c r="N83" s="4" t="s">
        <v>38</v>
      </c>
      <c r="O83" s="4" t="s">
        <v>37</v>
      </c>
      <c r="P83" s="4" t="s">
        <v>37</v>
      </c>
      <c r="Q83" s="4" t="s">
        <v>37</v>
      </c>
      <c r="R83" s="4" t="s">
        <v>38</v>
      </c>
      <c r="S83" s="4" t="s">
        <v>38</v>
      </c>
      <c r="T83" s="4" t="s">
        <v>38</v>
      </c>
      <c r="U83" s="4" t="s">
        <v>37</v>
      </c>
      <c r="V83" s="4" t="s">
        <v>38</v>
      </c>
      <c r="W83" s="4" t="s">
        <v>38</v>
      </c>
      <c r="X83" s="4" t="s">
        <v>38</v>
      </c>
      <c r="Y83" s="4" t="s">
        <v>38</v>
      </c>
      <c r="Z83" s="4" t="s">
        <v>37</v>
      </c>
      <c r="AA83" s="4" t="s">
        <v>38</v>
      </c>
      <c r="AB83" s="4" t="s">
        <v>33</v>
      </c>
      <c r="AC83" s="4" t="s">
        <v>40</v>
      </c>
      <c r="AF83" s="7">
        <f>Table13[[#This Row],[Completion time]]-Table13[[#This Row],[Start time]]</f>
        <v>1.9328703710925765E-3</v>
      </c>
      <c r="AG83" s="8">
        <f>2026-Table13[[#This Row],[What is your year of birth? ]]</f>
        <v>61</v>
      </c>
      <c r="AH83">
        <f>2026-Table13[[#This Row],[Please indicate the year you graduated from the Faculty of Medicine]]</f>
        <v>29</v>
      </c>
      <c r="AI83">
        <f t="shared" si="17"/>
        <v>1</v>
      </c>
      <c r="AJ83">
        <f t="shared" si="18"/>
        <v>1</v>
      </c>
      <c r="AK83">
        <f t="shared" si="19"/>
        <v>0</v>
      </c>
      <c r="AL83">
        <f t="shared" si="20"/>
        <v>0</v>
      </c>
      <c r="AM83">
        <f t="shared" si="21"/>
        <v>1</v>
      </c>
      <c r="AN83">
        <f t="shared" si="22"/>
        <v>1</v>
      </c>
      <c r="AO83">
        <f t="shared" si="23"/>
        <v>1</v>
      </c>
      <c r="AP83">
        <f t="shared" si="24"/>
        <v>1</v>
      </c>
      <c r="AQ83">
        <f t="shared" si="25"/>
        <v>1</v>
      </c>
      <c r="AR83">
        <f t="shared" si="26"/>
        <v>1</v>
      </c>
      <c r="AS83">
        <f t="shared" si="27"/>
        <v>1</v>
      </c>
      <c r="AT83">
        <f t="shared" si="28"/>
        <v>1</v>
      </c>
      <c r="AU83">
        <f t="shared" si="29"/>
        <v>1</v>
      </c>
      <c r="AV83">
        <f t="shared" si="30"/>
        <v>0</v>
      </c>
      <c r="AW83">
        <f t="shared" si="31"/>
        <v>1</v>
      </c>
      <c r="AX83">
        <f t="shared" si="32"/>
        <v>12</v>
      </c>
      <c r="AY83">
        <f>IF(Table13[[#This Row],[Please choose your sex]]="Male",0,1)</f>
        <v>1</v>
      </c>
      <c r="AZ83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83">
        <f>IF(Table13[[#This Row],[Do you hold a subspecialty qualification (degree / certificate) in Reproductive Endocrinology and Infertility?
]]="No",0,1)</f>
        <v>0</v>
      </c>
      <c r="BB83">
        <f>IF(Table13[[#This Row],[Do you provide clinical care for the management of infertility?]]="No",0,1)</f>
        <v>1</v>
      </c>
      <c r="BC83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83">
        <f>IF(Table13[[#This Row],[Do you have access to evidence-based clinical guidelines at your workplace?]]="No",0,1)</f>
        <v>1</v>
      </c>
      <c r="BE83">
        <f>IF(OR(Table13[[#This Row],[What is your practice setting? (Select all that apply.)]]="University hospital ;",Table13[[#This Row],[What is your practice setting? (Select all that apply.)]]="Public hospital ;"),1,0)</f>
        <v>0</v>
      </c>
      <c r="BF83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84" spans="1:58" ht="16" x14ac:dyDescent="0.2">
      <c r="A84" s="4">
        <v>69</v>
      </c>
      <c r="B84" s="5">
        <v>46129.568819444445</v>
      </c>
      <c r="C84" s="5">
        <v>46129.570324074077</v>
      </c>
      <c r="D84" s="4" t="s">
        <v>29</v>
      </c>
      <c r="E84" s="6">
        <v>1988</v>
      </c>
      <c r="F84" s="4" t="s">
        <v>30</v>
      </c>
      <c r="G84" s="6">
        <v>2012</v>
      </c>
      <c r="H84" s="4" t="s">
        <v>58</v>
      </c>
      <c r="I84" s="4" t="s">
        <v>33</v>
      </c>
      <c r="J84" s="4" t="s">
        <v>33</v>
      </c>
      <c r="K84" s="4" t="s">
        <v>42</v>
      </c>
      <c r="L84" s="4" t="s">
        <v>56</v>
      </c>
      <c r="M84" s="4" t="s">
        <v>47</v>
      </c>
      <c r="N84" s="4" t="s">
        <v>47</v>
      </c>
      <c r="O84" s="4" t="s">
        <v>47</v>
      </c>
      <c r="P84" s="4" t="s">
        <v>37</v>
      </c>
      <c r="Q84" s="4" t="s">
        <v>39</v>
      </c>
      <c r="R84" s="4" t="s">
        <v>47</v>
      </c>
      <c r="S84" s="4" t="s">
        <v>47</v>
      </c>
      <c r="T84" s="4" t="s">
        <v>47</v>
      </c>
      <c r="U84" s="4" t="s">
        <v>39</v>
      </c>
      <c r="V84" s="4" t="s">
        <v>47</v>
      </c>
      <c r="W84" s="4" t="s">
        <v>47</v>
      </c>
      <c r="X84" s="4" t="s">
        <v>47</v>
      </c>
      <c r="Y84" s="4" t="s">
        <v>37</v>
      </c>
      <c r="Z84" s="4" t="s">
        <v>38</v>
      </c>
      <c r="AA84" s="4" t="s">
        <v>47</v>
      </c>
      <c r="AB84" s="4" t="s">
        <v>33</v>
      </c>
      <c r="AC84" s="4" t="s">
        <v>90</v>
      </c>
      <c r="AF84" s="7">
        <f>Table13[[#This Row],[Completion time]]-Table13[[#This Row],[Start time]]</f>
        <v>1.5046296321088448E-3</v>
      </c>
      <c r="AG84" s="8">
        <f>2026-Table13[[#This Row],[What is your year of birth? ]]</f>
        <v>38</v>
      </c>
      <c r="AH84">
        <f>2026-Table13[[#This Row],[Please indicate the year you graduated from the Faculty of Medicine]]</f>
        <v>14</v>
      </c>
      <c r="AI84">
        <f t="shared" si="17"/>
        <v>1</v>
      </c>
      <c r="AJ84">
        <f t="shared" si="18"/>
        <v>1</v>
      </c>
      <c r="AK84">
        <f t="shared" si="19"/>
        <v>1</v>
      </c>
      <c r="AL84">
        <f t="shared" si="20"/>
        <v>0</v>
      </c>
      <c r="AM84">
        <f t="shared" si="21"/>
        <v>1</v>
      </c>
      <c r="AN84">
        <f t="shared" si="22"/>
        <v>1</v>
      </c>
      <c r="AO84">
        <f t="shared" si="23"/>
        <v>1</v>
      </c>
      <c r="AP84">
        <f t="shared" si="24"/>
        <v>1</v>
      </c>
      <c r="AQ84">
        <f t="shared" si="25"/>
        <v>1</v>
      </c>
      <c r="AR84">
        <f t="shared" si="26"/>
        <v>1</v>
      </c>
      <c r="AS84">
        <f t="shared" si="27"/>
        <v>1</v>
      </c>
      <c r="AT84">
        <f t="shared" si="28"/>
        <v>1</v>
      </c>
      <c r="AU84">
        <f t="shared" si="29"/>
        <v>0</v>
      </c>
      <c r="AV84">
        <f t="shared" si="30"/>
        <v>1</v>
      </c>
      <c r="AW84">
        <f t="shared" si="31"/>
        <v>1</v>
      </c>
      <c r="AX84">
        <f t="shared" si="32"/>
        <v>13</v>
      </c>
      <c r="AY84">
        <f>IF(Table13[[#This Row],[Please choose your sex]]="Male",0,1)</f>
        <v>0</v>
      </c>
      <c r="AZ84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84">
        <f>IF(Table13[[#This Row],[Do you hold a subspecialty qualification (degree / certificate) in Reproductive Endocrinology and Infertility?
]]="No",0,1)</f>
        <v>1</v>
      </c>
      <c r="BB84">
        <f>IF(Table13[[#This Row],[Do you provide clinical care for the management of infertility?]]="No",0,1)</f>
        <v>1</v>
      </c>
      <c r="BC84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84">
        <f>IF(Table13[[#This Row],[Do you have access to evidence-based clinical guidelines at your workplace?]]="No",0,1)</f>
        <v>1</v>
      </c>
      <c r="BE84">
        <f>IF(OR(Table13[[#This Row],[What is your practice setting? (Select all that apply.)]]="University hospital ;",Table13[[#This Row],[What is your practice setting? (Select all that apply.)]]="Public hospital ;"),1,0)</f>
        <v>0</v>
      </c>
      <c r="BF84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85" spans="1:58" ht="16" x14ac:dyDescent="0.2">
      <c r="A85" s="4">
        <v>70</v>
      </c>
      <c r="B85" s="5">
        <v>46129.465497685182</v>
      </c>
      <c r="C85" s="5">
        <v>46129.590046296296</v>
      </c>
      <c r="D85" s="4" t="s">
        <v>29</v>
      </c>
      <c r="E85" s="6">
        <v>1966</v>
      </c>
      <c r="F85" s="4" t="s">
        <v>44</v>
      </c>
      <c r="G85" s="6">
        <v>1988</v>
      </c>
      <c r="H85" s="4" t="s">
        <v>50</v>
      </c>
      <c r="I85" s="4" t="s">
        <v>32</v>
      </c>
      <c r="J85" s="4" t="s">
        <v>33</v>
      </c>
      <c r="K85" s="4" t="s">
        <v>34</v>
      </c>
      <c r="L85" s="4" t="s">
        <v>72</v>
      </c>
      <c r="M85" s="4" t="s">
        <v>37</v>
      </c>
      <c r="N85" s="4" t="s">
        <v>37</v>
      </c>
      <c r="O85" s="4" t="s">
        <v>37</v>
      </c>
      <c r="P85" s="4" t="s">
        <v>39</v>
      </c>
      <c r="Q85" s="4" t="s">
        <v>39</v>
      </c>
      <c r="R85" s="4" t="s">
        <v>36</v>
      </c>
      <c r="S85" s="4" t="s">
        <v>37</v>
      </c>
      <c r="T85" s="4" t="s">
        <v>37</v>
      </c>
      <c r="U85" s="4" t="s">
        <v>37</v>
      </c>
      <c r="V85" s="4" t="s">
        <v>37</v>
      </c>
      <c r="W85" s="4" t="s">
        <v>36</v>
      </c>
      <c r="X85" s="4" t="s">
        <v>37</v>
      </c>
      <c r="Y85" s="4" t="s">
        <v>37</v>
      </c>
      <c r="Z85" s="4" t="s">
        <v>37</v>
      </c>
      <c r="AA85" s="4" t="s">
        <v>37</v>
      </c>
      <c r="AB85" s="4" t="s">
        <v>32</v>
      </c>
      <c r="AC85" s="4" t="s">
        <v>40</v>
      </c>
      <c r="AF85" s="7">
        <f>Table13[[#This Row],[Completion time]]-Table13[[#This Row],[Start time]]</f>
        <v>0.12454861111473292</v>
      </c>
      <c r="AG85" s="8">
        <f>2026-Table13[[#This Row],[What is your year of birth? ]]</f>
        <v>60</v>
      </c>
      <c r="AH85">
        <f>2026-Table13[[#This Row],[Please indicate the year you graduated from the Faculty of Medicine]]</f>
        <v>38</v>
      </c>
      <c r="AI85">
        <f t="shared" si="17"/>
        <v>0</v>
      </c>
      <c r="AJ85">
        <f t="shared" si="18"/>
        <v>0</v>
      </c>
      <c r="AK85">
        <f t="shared" si="19"/>
        <v>0</v>
      </c>
      <c r="AL85">
        <f t="shared" si="20"/>
        <v>0</v>
      </c>
      <c r="AM85">
        <f t="shared" si="21"/>
        <v>1</v>
      </c>
      <c r="AN85">
        <f t="shared" si="22"/>
        <v>0</v>
      </c>
      <c r="AO85">
        <f t="shared" si="23"/>
        <v>0</v>
      </c>
      <c r="AP85">
        <f t="shared" si="24"/>
        <v>0</v>
      </c>
      <c r="AQ85">
        <f t="shared" si="25"/>
        <v>1</v>
      </c>
      <c r="AR85">
        <f t="shared" si="26"/>
        <v>0</v>
      </c>
      <c r="AS85">
        <f t="shared" si="27"/>
        <v>0</v>
      </c>
      <c r="AT85">
        <f t="shared" si="28"/>
        <v>0</v>
      </c>
      <c r="AU85">
        <f t="shared" si="29"/>
        <v>0</v>
      </c>
      <c r="AV85">
        <f t="shared" si="30"/>
        <v>0</v>
      </c>
      <c r="AW85">
        <f t="shared" si="31"/>
        <v>0</v>
      </c>
      <c r="AX85">
        <f t="shared" si="32"/>
        <v>2</v>
      </c>
      <c r="AY85">
        <f>IF(Table13[[#This Row],[Please choose your sex]]="Male",0,1)</f>
        <v>1</v>
      </c>
      <c r="AZ85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85">
        <f>IF(Table13[[#This Row],[Do you hold a subspecialty qualification (degree / certificate) in Reproductive Endocrinology and Infertility?
]]="No",0,1)</f>
        <v>0</v>
      </c>
      <c r="BB85">
        <f>IF(Table13[[#This Row],[Do you provide clinical care for the management of infertility?]]="No",0,1)</f>
        <v>1</v>
      </c>
      <c r="BC85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85">
        <f>IF(Table13[[#This Row],[Do you have access to evidence-based clinical guidelines at your workplace?]]="No",0,1)</f>
        <v>0</v>
      </c>
      <c r="BE85">
        <f>IF(OR(Table13[[#This Row],[What is your practice setting? (Select all that apply.)]]="University hospital ;",Table13[[#This Row],[What is your practice setting? (Select all that apply.)]]="Public hospital ;"),1,0)</f>
        <v>0</v>
      </c>
      <c r="BF85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86" spans="1:58" ht="16" x14ac:dyDescent="0.2">
      <c r="A86" s="4">
        <v>71</v>
      </c>
      <c r="B86" s="5">
        <v>46129.857893518521</v>
      </c>
      <c r="C86" s="5">
        <v>46129.864027777781</v>
      </c>
      <c r="D86" s="4" t="s">
        <v>29</v>
      </c>
      <c r="E86" s="6">
        <v>1965</v>
      </c>
      <c r="F86" s="4" t="s">
        <v>44</v>
      </c>
      <c r="G86" s="6">
        <v>1988</v>
      </c>
      <c r="H86" s="4" t="s">
        <v>31</v>
      </c>
      <c r="I86" s="4" t="s">
        <v>32</v>
      </c>
      <c r="J86" s="4" t="s">
        <v>33</v>
      </c>
      <c r="K86" s="4" t="s">
        <v>42</v>
      </c>
      <c r="L86" s="4" t="s">
        <v>70</v>
      </c>
      <c r="M86" s="4" t="s">
        <v>47</v>
      </c>
      <c r="N86" s="4" t="s">
        <v>47</v>
      </c>
      <c r="O86" s="4" t="s">
        <v>47</v>
      </c>
      <c r="P86" s="4" t="s">
        <v>47</v>
      </c>
      <c r="Q86" s="4" t="s">
        <v>39</v>
      </c>
      <c r="R86" s="4" t="s">
        <v>47</v>
      </c>
      <c r="S86" s="4" t="s">
        <v>47</v>
      </c>
      <c r="T86" s="4" t="s">
        <v>47</v>
      </c>
      <c r="U86" s="4" t="s">
        <v>39</v>
      </c>
      <c r="V86" s="4" t="s">
        <v>47</v>
      </c>
      <c r="W86" s="4" t="s">
        <v>47</v>
      </c>
      <c r="X86" s="4" t="s">
        <v>47</v>
      </c>
      <c r="Y86" s="4" t="s">
        <v>38</v>
      </c>
      <c r="Z86" s="4" t="s">
        <v>38</v>
      </c>
      <c r="AA86" s="4" t="s">
        <v>47</v>
      </c>
      <c r="AB86" s="4" t="s">
        <v>32</v>
      </c>
      <c r="AC86" s="4" t="s">
        <v>40</v>
      </c>
      <c r="AF86" s="7">
        <f>Table13[[#This Row],[Completion time]]-Table13[[#This Row],[Start time]]</f>
        <v>6.1342592598521151E-3</v>
      </c>
      <c r="AG86" s="8">
        <f>2026-Table13[[#This Row],[What is your year of birth? ]]</f>
        <v>61</v>
      </c>
      <c r="AH86">
        <f>2026-Table13[[#This Row],[Please indicate the year you graduated from the Faculty of Medicine]]</f>
        <v>38</v>
      </c>
      <c r="AI86">
        <f t="shared" si="17"/>
        <v>1</v>
      </c>
      <c r="AJ86">
        <f t="shared" si="18"/>
        <v>1</v>
      </c>
      <c r="AK86">
        <f t="shared" si="19"/>
        <v>1</v>
      </c>
      <c r="AL86">
        <f t="shared" si="20"/>
        <v>1</v>
      </c>
      <c r="AM86">
        <f t="shared" si="21"/>
        <v>1</v>
      </c>
      <c r="AN86">
        <f t="shared" si="22"/>
        <v>1</v>
      </c>
      <c r="AO86">
        <f t="shared" si="23"/>
        <v>1</v>
      </c>
      <c r="AP86">
        <f t="shared" si="24"/>
        <v>1</v>
      </c>
      <c r="AQ86">
        <f t="shared" si="25"/>
        <v>1</v>
      </c>
      <c r="AR86">
        <f t="shared" si="26"/>
        <v>1</v>
      </c>
      <c r="AS86">
        <f t="shared" si="27"/>
        <v>1</v>
      </c>
      <c r="AT86">
        <f t="shared" si="28"/>
        <v>1</v>
      </c>
      <c r="AU86">
        <f t="shared" si="29"/>
        <v>1</v>
      </c>
      <c r="AV86">
        <f t="shared" si="30"/>
        <v>1</v>
      </c>
      <c r="AW86">
        <f t="shared" si="31"/>
        <v>1</v>
      </c>
      <c r="AX86">
        <f t="shared" si="32"/>
        <v>15</v>
      </c>
      <c r="AY86">
        <f>IF(Table13[[#This Row],[Please choose your sex]]="Male",0,1)</f>
        <v>1</v>
      </c>
      <c r="AZ86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86">
        <f>IF(Table13[[#This Row],[Do you hold a subspecialty qualification (degree / certificate) in Reproductive Endocrinology and Infertility?
]]="No",0,1)</f>
        <v>0</v>
      </c>
      <c r="BB86">
        <f>IF(Table13[[#This Row],[Do you provide clinical care for the management of infertility?]]="No",0,1)</f>
        <v>1</v>
      </c>
      <c r="BC86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86">
        <f>IF(Table13[[#This Row],[Do you have access to evidence-based clinical guidelines at your workplace?]]="No",0,1)</f>
        <v>0</v>
      </c>
      <c r="BE86">
        <f>IF(OR(Table13[[#This Row],[What is your practice setting? (Select all that apply.)]]="University hospital ;",Table13[[#This Row],[What is your practice setting? (Select all that apply.)]]="Public hospital ;"),1,0)</f>
        <v>1</v>
      </c>
      <c r="BF86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87" spans="1:58" ht="16" x14ac:dyDescent="0.2">
      <c r="A87" s="4">
        <v>72</v>
      </c>
      <c r="B87" s="5">
        <v>46132.456076388888</v>
      </c>
      <c r="C87" s="5">
        <v>46132.457280092596</v>
      </c>
      <c r="D87" s="4" t="s">
        <v>29</v>
      </c>
      <c r="E87" s="6">
        <v>1990</v>
      </c>
      <c r="F87" s="4" t="s">
        <v>44</v>
      </c>
      <c r="G87" s="6">
        <v>2014</v>
      </c>
      <c r="H87" s="4" t="s">
        <v>77</v>
      </c>
      <c r="I87" s="4" t="s">
        <v>32</v>
      </c>
      <c r="J87" s="4" t="s">
        <v>33</v>
      </c>
      <c r="K87" s="4" t="s">
        <v>66</v>
      </c>
      <c r="L87" s="4" t="s">
        <v>46</v>
      </c>
      <c r="M87" s="4" t="s">
        <v>47</v>
      </c>
      <c r="N87" s="4" t="s">
        <v>47</v>
      </c>
      <c r="O87" s="4" t="s">
        <v>47</v>
      </c>
      <c r="P87" s="4" t="s">
        <v>37</v>
      </c>
      <c r="Q87" s="4" t="s">
        <v>39</v>
      </c>
      <c r="R87" s="4" t="s">
        <v>38</v>
      </c>
      <c r="S87" s="4" t="s">
        <v>47</v>
      </c>
      <c r="T87" s="4" t="s">
        <v>38</v>
      </c>
      <c r="U87" s="4" t="s">
        <v>39</v>
      </c>
      <c r="V87" s="4" t="s">
        <v>47</v>
      </c>
      <c r="W87" s="4" t="s">
        <v>47</v>
      </c>
      <c r="X87" s="4" t="s">
        <v>47</v>
      </c>
      <c r="Y87" s="4" t="s">
        <v>39</v>
      </c>
      <c r="Z87" s="4" t="s">
        <v>37</v>
      </c>
      <c r="AA87" s="4" t="s">
        <v>47</v>
      </c>
      <c r="AB87" s="4" t="s">
        <v>33</v>
      </c>
      <c r="AC87" s="4" t="s">
        <v>82</v>
      </c>
      <c r="AF87" s="7">
        <f>Table13[[#This Row],[Completion time]]-Table13[[#This Row],[Start time]]</f>
        <v>1.2037037085974589E-3</v>
      </c>
      <c r="AG87" s="8">
        <f>2026-Table13[[#This Row],[What is your year of birth? ]]</f>
        <v>36</v>
      </c>
      <c r="AH87">
        <f>2026-Table13[[#This Row],[Please indicate the year you graduated from the Faculty of Medicine]]</f>
        <v>12</v>
      </c>
      <c r="AI87">
        <f t="shared" si="17"/>
        <v>1</v>
      </c>
      <c r="AJ87">
        <f t="shared" si="18"/>
        <v>1</v>
      </c>
      <c r="AK87">
        <f t="shared" si="19"/>
        <v>1</v>
      </c>
      <c r="AL87">
        <f t="shared" si="20"/>
        <v>0</v>
      </c>
      <c r="AM87">
        <f t="shared" si="21"/>
        <v>1</v>
      </c>
      <c r="AN87">
        <f t="shared" si="22"/>
        <v>1</v>
      </c>
      <c r="AO87">
        <f t="shared" si="23"/>
        <v>1</v>
      </c>
      <c r="AP87">
        <f t="shared" si="24"/>
        <v>1</v>
      </c>
      <c r="AQ87">
        <f t="shared" si="25"/>
        <v>1</v>
      </c>
      <c r="AR87">
        <f t="shared" si="26"/>
        <v>1</v>
      </c>
      <c r="AS87">
        <f t="shared" si="27"/>
        <v>1</v>
      </c>
      <c r="AT87">
        <f t="shared" si="28"/>
        <v>1</v>
      </c>
      <c r="AU87">
        <f t="shared" si="29"/>
        <v>0</v>
      </c>
      <c r="AV87">
        <f t="shared" si="30"/>
        <v>0</v>
      </c>
      <c r="AW87">
        <f t="shared" si="31"/>
        <v>1</v>
      </c>
      <c r="AX87">
        <f t="shared" si="32"/>
        <v>12</v>
      </c>
      <c r="AY87">
        <f>IF(Table13[[#This Row],[Please choose your sex]]="Male",0,1)</f>
        <v>1</v>
      </c>
      <c r="AZ87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87">
        <f>IF(Table13[[#This Row],[Do you hold a subspecialty qualification (degree / certificate) in Reproductive Endocrinology and Infertility?
]]="No",0,1)</f>
        <v>0</v>
      </c>
      <c r="BB87">
        <f>IF(Table13[[#This Row],[Do you provide clinical care for the management of infertility?]]="No",0,1)</f>
        <v>1</v>
      </c>
      <c r="BC87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87">
        <f>IF(Table13[[#This Row],[Do you have access to evidence-based clinical guidelines at your workplace?]]="No",0,1)</f>
        <v>1</v>
      </c>
      <c r="BE87">
        <f>IF(OR(Table13[[#This Row],[What is your practice setting? (Select all that apply.)]]="University hospital ;",Table13[[#This Row],[What is your practice setting? (Select all that apply.)]]="Public hospital ;"),1,0)</f>
        <v>0</v>
      </c>
      <c r="BF87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88" spans="1:58" ht="16" x14ac:dyDescent="0.2">
      <c r="A88" s="4">
        <v>73</v>
      </c>
      <c r="B88" s="5">
        <v>46141.752766203703</v>
      </c>
      <c r="C88" s="5">
        <v>46141.766041666669</v>
      </c>
      <c r="D88" s="4" t="s">
        <v>29</v>
      </c>
      <c r="E88" s="6">
        <v>1967</v>
      </c>
      <c r="F88" s="4" t="s">
        <v>44</v>
      </c>
      <c r="G88" s="6">
        <v>1990</v>
      </c>
      <c r="H88" s="4" t="s">
        <v>89</v>
      </c>
      <c r="I88" s="4" t="s">
        <v>32</v>
      </c>
      <c r="J88" s="4" t="s">
        <v>33</v>
      </c>
      <c r="K88" s="4" t="s">
        <v>42</v>
      </c>
      <c r="L88" s="4" t="s">
        <v>91</v>
      </c>
      <c r="M88" s="4" t="s">
        <v>47</v>
      </c>
      <c r="N88" s="4" t="s">
        <v>47</v>
      </c>
      <c r="O88" s="4" t="s">
        <v>47</v>
      </c>
      <c r="P88" s="4" t="s">
        <v>47</v>
      </c>
      <c r="Q88" s="4" t="s">
        <v>39</v>
      </c>
      <c r="R88" s="4" t="s">
        <v>36</v>
      </c>
      <c r="S88" s="4" t="s">
        <v>36</v>
      </c>
      <c r="T88" s="4" t="s">
        <v>47</v>
      </c>
      <c r="U88" s="4" t="s">
        <v>38</v>
      </c>
      <c r="V88" s="4" t="s">
        <v>47</v>
      </c>
      <c r="W88" s="4" t="s">
        <v>38</v>
      </c>
      <c r="X88" s="4" t="s">
        <v>38</v>
      </c>
      <c r="Y88" s="4" t="s">
        <v>36</v>
      </c>
      <c r="Z88" s="4" t="s">
        <v>38</v>
      </c>
      <c r="AA88" s="4" t="s">
        <v>38</v>
      </c>
      <c r="AB88" s="4" t="s">
        <v>33</v>
      </c>
      <c r="AC88" s="4" t="s">
        <v>40</v>
      </c>
      <c r="AF88" s="7">
        <f>Table13[[#This Row],[Completion time]]-Table13[[#This Row],[Start time]]</f>
        <v>1.3275462966703344E-2</v>
      </c>
      <c r="AG88" s="8">
        <f>2026-Table13[[#This Row],[What is your year of birth? ]]</f>
        <v>59</v>
      </c>
      <c r="AH88">
        <f>2026-Table13[[#This Row],[Please indicate the year you graduated from the Faculty of Medicine]]</f>
        <v>36</v>
      </c>
      <c r="AI88">
        <f t="shared" si="17"/>
        <v>1</v>
      </c>
      <c r="AJ88">
        <f t="shared" si="18"/>
        <v>1</v>
      </c>
      <c r="AK88">
        <f t="shared" si="19"/>
        <v>1</v>
      </c>
      <c r="AL88">
        <f t="shared" si="20"/>
        <v>1</v>
      </c>
      <c r="AM88">
        <f t="shared" si="21"/>
        <v>1</v>
      </c>
      <c r="AN88">
        <f t="shared" si="22"/>
        <v>0</v>
      </c>
      <c r="AO88">
        <f t="shared" si="23"/>
        <v>0</v>
      </c>
      <c r="AP88">
        <f t="shared" si="24"/>
        <v>1</v>
      </c>
      <c r="AQ88">
        <f t="shared" si="25"/>
        <v>0</v>
      </c>
      <c r="AR88">
        <f t="shared" si="26"/>
        <v>1</v>
      </c>
      <c r="AS88">
        <f t="shared" si="27"/>
        <v>1</v>
      </c>
      <c r="AT88">
        <f t="shared" si="28"/>
        <v>1</v>
      </c>
      <c r="AU88">
        <f t="shared" si="29"/>
        <v>0</v>
      </c>
      <c r="AV88">
        <f t="shared" si="30"/>
        <v>1</v>
      </c>
      <c r="AW88">
        <f t="shared" si="31"/>
        <v>1</v>
      </c>
      <c r="AX88">
        <f t="shared" si="32"/>
        <v>11</v>
      </c>
      <c r="AY88">
        <f>IF(Table13[[#This Row],[Please choose your sex]]="Male",0,1)</f>
        <v>1</v>
      </c>
      <c r="AZ88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88">
        <f>IF(Table13[[#This Row],[Do you hold a subspecialty qualification (degree / certificate) in Reproductive Endocrinology and Infertility?
]]="No",0,1)</f>
        <v>0</v>
      </c>
      <c r="BB88">
        <f>IF(Table13[[#This Row],[Do you provide clinical care for the management of infertility?]]="No",0,1)</f>
        <v>1</v>
      </c>
      <c r="BC88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88">
        <f>IF(Table13[[#This Row],[Do you have access to evidence-based clinical guidelines at your workplace?]]="No",0,1)</f>
        <v>1</v>
      </c>
      <c r="BE88">
        <f>IF(OR(Table13[[#This Row],[What is your practice setting? (Select all that apply.)]]="University hospital ;",Table13[[#This Row],[What is your practice setting? (Select all that apply.)]]="Public hospital ;"),1,0)</f>
        <v>0</v>
      </c>
      <c r="BF88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89" spans="1:58" ht="16" x14ac:dyDescent="0.2">
      <c r="A89" s="4">
        <v>75</v>
      </c>
      <c r="B89" s="5">
        <v>46144.737060185187</v>
      </c>
      <c r="C89" s="5">
        <v>46144.738344907404</v>
      </c>
      <c r="D89" s="4" t="s">
        <v>29</v>
      </c>
      <c r="E89" s="6">
        <v>1990</v>
      </c>
      <c r="F89" s="4" t="s">
        <v>30</v>
      </c>
      <c r="G89" s="6">
        <v>2014</v>
      </c>
      <c r="H89" s="4" t="s">
        <v>50</v>
      </c>
      <c r="I89" s="4" t="s">
        <v>32</v>
      </c>
      <c r="J89" s="4" t="s">
        <v>33</v>
      </c>
      <c r="K89" s="4" t="s">
        <v>66</v>
      </c>
      <c r="L89" s="4" t="s">
        <v>84</v>
      </c>
      <c r="M89" s="4" t="s">
        <v>38</v>
      </c>
      <c r="N89" s="4" t="s">
        <v>37</v>
      </c>
      <c r="O89" s="4" t="s">
        <v>37</v>
      </c>
      <c r="P89" s="4" t="s">
        <v>37</v>
      </c>
      <c r="Q89" s="4" t="s">
        <v>39</v>
      </c>
      <c r="R89" s="4" t="s">
        <v>38</v>
      </c>
      <c r="S89" s="4" t="s">
        <v>47</v>
      </c>
      <c r="T89" s="4" t="s">
        <v>38</v>
      </c>
      <c r="U89" s="4" t="s">
        <v>39</v>
      </c>
      <c r="V89" s="4" t="s">
        <v>47</v>
      </c>
      <c r="W89" s="4" t="s">
        <v>37</v>
      </c>
      <c r="X89" s="4" t="s">
        <v>47</v>
      </c>
      <c r="Y89" s="4" t="s">
        <v>39</v>
      </c>
      <c r="Z89" s="4" t="s">
        <v>37</v>
      </c>
      <c r="AA89" s="4" t="s">
        <v>47</v>
      </c>
      <c r="AB89" s="4" t="s">
        <v>33</v>
      </c>
      <c r="AC89" s="4" t="s">
        <v>82</v>
      </c>
      <c r="AF89" s="7">
        <f>Table13[[#This Row],[Completion time]]-Table13[[#This Row],[Start time]]</f>
        <v>1.2847222169511952E-3</v>
      </c>
      <c r="AG89" s="8">
        <f>2026-Table13[[#This Row],[What is your year of birth? ]]</f>
        <v>36</v>
      </c>
      <c r="AH89">
        <f>2026-Table13[[#This Row],[Please indicate the year you graduated from the Faculty of Medicine]]</f>
        <v>12</v>
      </c>
      <c r="AI89">
        <f t="shared" si="17"/>
        <v>1</v>
      </c>
      <c r="AJ89">
        <f t="shared" si="18"/>
        <v>0</v>
      </c>
      <c r="AK89">
        <f t="shared" si="19"/>
        <v>0</v>
      </c>
      <c r="AL89">
        <f t="shared" si="20"/>
        <v>0</v>
      </c>
      <c r="AM89">
        <f t="shared" si="21"/>
        <v>1</v>
      </c>
      <c r="AN89">
        <f t="shared" si="22"/>
        <v>1</v>
      </c>
      <c r="AO89">
        <f t="shared" si="23"/>
        <v>1</v>
      </c>
      <c r="AP89">
        <f t="shared" si="24"/>
        <v>1</v>
      </c>
      <c r="AQ89">
        <f t="shared" si="25"/>
        <v>1</v>
      </c>
      <c r="AR89">
        <f t="shared" si="26"/>
        <v>1</v>
      </c>
      <c r="AS89">
        <f t="shared" si="27"/>
        <v>0</v>
      </c>
      <c r="AT89">
        <f t="shared" si="28"/>
        <v>1</v>
      </c>
      <c r="AU89">
        <f t="shared" si="29"/>
        <v>0</v>
      </c>
      <c r="AV89">
        <f t="shared" si="30"/>
        <v>0</v>
      </c>
      <c r="AW89">
        <f t="shared" si="31"/>
        <v>1</v>
      </c>
      <c r="AX89">
        <f t="shared" si="32"/>
        <v>9</v>
      </c>
      <c r="AY89">
        <f>IF(Table13[[#This Row],[Please choose your sex]]="Male",0,1)</f>
        <v>0</v>
      </c>
      <c r="AZ89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89">
        <f>IF(Table13[[#This Row],[Do you hold a subspecialty qualification (degree / certificate) in Reproductive Endocrinology and Infertility?
]]="No",0,1)</f>
        <v>0</v>
      </c>
      <c r="BB89">
        <f>IF(Table13[[#This Row],[Do you provide clinical care for the management of infertility?]]="No",0,1)</f>
        <v>1</v>
      </c>
      <c r="BC89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89">
        <f>IF(Table13[[#This Row],[Do you have access to evidence-based clinical guidelines at your workplace?]]="No",0,1)</f>
        <v>1</v>
      </c>
      <c r="BE89">
        <f>IF(OR(Table13[[#This Row],[What is your practice setting? (Select all that apply.)]]="University hospital ;",Table13[[#This Row],[What is your practice setting? (Select all that apply.)]]="Public hospital ;"),1,0)</f>
        <v>0</v>
      </c>
      <c r="BF89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90" spans="1:58" ht="16" x14ac:dyDescent="0.2">
      <c r="A90" s="4">
        <v>76</v>
      </c>
      <c r="B90" s="5">
        <v>46144.803298611114</v>
      </c>
      <c r="C90" s="5">
        <v>46144.805081018516</v>
      </c>
      <c r="D90" s="4" t="s">
        <v>29</v>
      </c>
      <c r="E90" s="6">
        <v>1992</v>
      </c>
      <c r="F90" s="4" t="s">
        <v>44</v>
      </c>
      <c r="G90" s="6">
        <v>2016</v>
      </c>
      <c r="H90" s="4" t="s">
        <v>75</v>
      </c>
      <c r="I90" s="4" t="s">
        <v>32</v>
      </c>
      <c r="J90" s="4" t="s">
        <v>33</v>
      </c>
      <c r="K90" s="4" t="s">
        <v>66</v>
      </c>
      <c r="L90" s="4" t="s">
        <v>84</v>
      </c>
      <c r="M90" s="4" t="s">
        <v>47</v>
      </c>
      <c r="N90" s="4" t="s">
        <v>47</v>
      </c>
      <c r="O90" s="4" t="s">
        <v>47</v>
      </c>
      <c r="P90" s="4" t="s">
        <v>39</v>
      </c>
      <c r="Q90" s="4" t="s">
        <v>39</v>
      </c>
      <c r="R90" s="4" t="s">
        <v>36</v>
      </c>
      <c r="S90" s="4" t="s">
        <v>47</v>
      </c>
      <c r="T90" s="4" t="s">
        <v>38</v>
      </c>
      <c r="U90" s="4" t="s">
        <v>39</v>
      </c>
      <c r="V90" s="4" t="s">
        <v>47</v>
      </c>
      <c r="W90" s="4" t="s">
        <v>47</v>
      </c>
      <c r="X90" s="4" t="s">
        <v>47</v>
      </c>
      <c r="Y90" s="4" t="s">
        <v>37</v>
      </c>
      <c r="Z90" s="4" t="s">
        <v>37</v>
      </c>
      <c r="AA90" s="4" t="s">
        <v>47</v>
      </c>
      <c r="AB90" s="4" t="s">
        <v>32</v>
      </c>
      <c r="AC90" s="4" t="s">
        <v>82</v>
      </c>
      <c r="AF90" s="7">
        <f>Table13[[#This Row],[Completion time]]-Table13[[#This Row],[Start time]]</f>
        <v>1.782407402060926E-3</v>
      </c>
      <c r="AG90" s="8">
        <f>2026-Table13[[#This Row],[What is your year of birth? ]]</f>
        <v>34</v>
      </c>
      <c r="AH90">
        <f>2026-Table13[[#This Row],[Please indicate the year you graduated from the Faculty of Medicine]]</f>
        <v>10</v>
      </c>
      <c r="AI90">
        <f t="shared" si="17"/>
        <v>1</v>
      </c>
      <c r="AJ90">
        <f t="shared" si="18"/>
        <v>1</v>
      </c>
      <c r="AK90">
        <f t="shared" si="19"/>
        <v>1</v>
      </c>
      <c r="AL90">
        <f t="shared" si="20"/>
        <v>0</v>
      </c>
      <c r="AM90">
        <f t="shared" si="21"/>
        <v>1</v>
      </c>
      <c r="AN90">
        <f t="shared" si="22"/>
        <v>0</v>
      </c>
      <c r="AO90">
        <f t="shared" si="23"/>
        <v>1</v>
      </c>
      <c r="AP90">
        <f t="shared" si="24"/>
        <v>1</v>
      </c>
      <c r="AQ90">
        <f t="shared" si="25"/>
        <v>1</v>
      </c>
      <c r="AR90">
        <f t="shared" si="26"/>
        <v>1</v>
      </c>
      <c r="AS90">
        <f t="shared" si="27"/>
        <v>1</v>
      </c>
      <c r="AT90">
        <f t="shared" si="28"/>
        <v>1</v>
      </c>
      <c r="AU90">
        <f t="shared" si="29"/>
        <v>0</v>
      </c>
      <c r="AV90">
        <f t="shared" si="30"/>
        <v>0</v>
      </c>
      <c r="AW90">
        <f t="shared" si="31"/>
        <v>1</v>
      </c>
      <c r="AX90">
        <f t="shared" si="32"/>
        <v>11</v>
      </c>
      <c r="AY90">
        <f>IF(Table13[[#This Row],[Please choose your sex]]="Male",0,1)</f>
        <v>1</v>
      </c>
      <c r="AZ90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90">
        <f>IF(Table13[[#This Row],[Do you hold a subspecialty qualification (degree / certificate) in Reproductive Endocrinology and Infertility?
]]="No",0,1)</f>
        <v>0</v>
      </c>
      <c r="BB90">
        <f>IF(Table13[[#This Row],[Do you provide clinical care for the management of infertility?]]="No",0,1)</f>
        <v>1</v>
      </c>
      <c r="BC90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90">
        <f>IF(Table13[[#This Row],[Do you have access to evidence-based clinical guidelines at your workplace?]]="No",0,1)</f>
        <v>0</v>
      </c>
      <c r="BE90">
        <f>IF(OR(Table13[[#This Row],[What is your practice setting? (Select all that apply.)]]="University hospital ;",Table13[[#This Row],[What is your practice setting? (Select all that apply.)]]="Public hospital ;"),1,0)</f>
        <v>0</v>
      </c>
      <c r="BF90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91" spans="1:58" ht="16" x14ac:dyDescent="0.2">
      <c r="A91" s="4">
        <v>77</v>
      </c>
      <c r="B91" s="5">
        <v>46147.565405092595</v>
      </c>
      <c r="C91" s="5">
        <v>46147.595995370371</v>
      </c>
      <c r="D91" s="4" t="s">
        <v>29</v>
      </c>
      <c r="E91" s="6">
        <v>1993</v>
      </c>
      <c r="F91" s="4" t="s">
        <v>30</v>
      </c>
      <c r="G91" s="6">
        <v>2017</v>
      </c>
      <c r="H91" s="4" t="s">
        <v>92</v>
      </c>
      <c r="I91" s="4" t="s">
        <v>33</v>
      </c>
      <c r="J91" s="4" t="s">
        <v>33</v>
      </c>
      <c r="K91" s="4" t="s">
        <v>34</v>
      </c>
      <c r="L91" s="4" t="s">
        <v>51</v>
      </c>
      <c r="M91" s="4" t="s">
        <v>38</v>
      </c>
      <c r="N91" s="4" t="s">
        <v>38</v>
      </c>
      <c r="O91" s="4" t="s">
        <v>36</v>
      </c>
      <c r="P91" s="4" t="s">
        <v>37</v>
      </c>
      <c r="Q91" s="4" t="s">
        <v>39</v>
      </c>
      <c r="R91" s="4" t="s">
        <v>38</v>
      </c>
      <c r="S91" s="4" t="s">
        <v>38</v>
      </c>
      <c r="T91" s="4" t="s">
        <v>38</v>
      </c>
      <c r="U91" s="4" t="s">
        <v>39</v>
      </c>
      <c r="V91" s="4" t="s">
        <v>38</v>
      </c>
      <c r="W91" s="4" t="s">
        <v>36</v>
      </c>
      <c r="X91" s="4" t="s">
        <v>36</v>
      </c>
      <c r="Y91" s="4" t="s">
        <v>38</v>
      </c>
      <c r="Z91" s="4" t="s">
        <v>38</v>
      </c>
      <c r="AA91" s="4" t="s">
        <v>38</v>
      </c>
      <c r="AB91" s="4" t="s">
        <v>33</v>
      </c>
      <c r="AC91" s="4" t="s">
        <v>73</v>
      </c>
      <c r="AF91" s="7">
        <f>Table13[[#This Row],[Completion time]]-Table13[[#This Row],[Start time]]</f>
        <v>3.0590277776354924E-2</v>
      </c>
      <c r="AG91" s="8">
        <f>2026-Table13[[#This Row],[What is your year of birth? ]]</f>
        <v>33</v>
      </c>
      <c r="AH91">
        <f>2026-Table13[[#This Row],[Please indicate the year you graduated from the Faculty of Medicine]]</f>
        <v>9</v>
      </c>
      <c r="AI91">
        <f t="shared" si="17"/>
        <v>1</v>
      </c>
      <c r="AJ91">
        <f t="shared" si="18"/>
        <v>1</v>
      </c>
      <c r="AK91">
        <f t="shared" si="19"/>
        <v>0</v>
      </c>
      <c r="AL91">
        <f t="shared" si="20"/>
        <v>0</v>
      </c>
      <c r="AM91">
        <f t="shared" si="21"/>
        <v>1</v>
      </c>
      <c r="AN91">
        <f t="shared" si="22"/>
        <v>1</v>
      </c>
      <c r="AO91">
        <f t="shared" si="23"/>
        <v>1</v>
      </c>
      <c r="AP91">
        <f t="shared" si="24"/>
        <v>1</v>
      </c>
      <c r="AQ91">
        <f t="shared" si="25"/>
        <v>1</v>
      </c>
      <c r="AR91">
        <f t="shared" si="26"/>
        <v>1</v>
      </c>
      <c r="AS91">
        <f t="shared" si="27"/>
        <v>0</v>
      </c>
      <c r="AT91">
        <f t="shared" si="28"/>
        <v>0</v>
      </c>
      <c r="AU91">
        <f t="shared" si="29"/>
        <v>1</v>
      </c>
      <c r="AV91">
        <f t="shared" si="30"/>
        <v>1</v>
      </c>
      <c r="AW91">
        <f t="shared" si="31"/>
        <v>1</v>
      </c>
      <c r="AX91">
        <f t="shared" si="32"/>
        <v>11</v>
      </c>
      <c r="AY91">
        <f>IF(Table13[[#This Row],[Please choose your sex]]="Male",0,1)</f>
        <v>0</v>
      </c>
      <c r="AZ91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91">
        <f>IF(Table13[[#This Row],[Do you hold a subspecialty qualification (degree / certificate) in Reproductive Endocrinology and Infertility?
]]="No",0,1)</f>
        <v>1</v>
      </c>
      <c r="BB91">
        <f>IF(Table13[[#This Row],[Do you provide clinical care for the management of infertility?]]="No",0,1)</f>
        <v>1</v>
      </c>
      <c r="BC91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91">
        <f>IF(Table13[[#This Row],[Do you have access to evidence-based clinical guidelines at your workplace?]]="No",0,1)</f>
        <v>1</v>
      </c>
      <c r="BE91">
        <f>IF(OR(Table13[[#This Row],[What is your practice setting? (Select all that apply.)]]="University hospital ;",Table13[[#This Row],[What is your practice setting? (Select all that apply.)]]="Public hospital ;"),1,0)</f>
        <v>0</v>
      </c>
      <c r="BF91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92" spans="1:58" ht="16" x14ac:dyDescent="0.2">
      <c r="A92" s="4">
        <v>78</v>
      </c>
      <c r="B92" s="5">
        <v>46150.517789351848</v>
      </c>
      <c r="C92" s="5">
        <v>46150.522106481483</v>
      </c>
      <c r="D92" s="4" t="s">
        <v>29</v>
      </c>
      <c r="E92" s="6">
        <v>1982</v>
      </c>
      <c r="F92" s="4" t="s">
        <v>30</v>
      </c>
      <c r="G92" s="6">
        <v>2006</v>
      </c>
      <c r="H92" s="4" t="s">
        <v>45</v>
      </c>
      <c r="I92" s="4" t="s">
        <v>33</v>
      </c>
      <c r="J92" s="4" t="s">
        <v>33</v>
      </c>
      <c r="K92" s="4" t="s">
        <v>66</v>
      </c>
      <c r="L92" s="4" t="s">
        <v>64</v>
      </c>
      <c r="M92" s="4" t="s">
        <v>38</v>
      </c>
      <c r="N92" s="4" t="s">
        <v>38</v>
      </c>
      <c r="O92" s="4" t="s">
        <v>37</v>
      </c>
      <c r="P92" s="4" t="s">
        <v>37</v>
      </c>
      <c r="Q92" s="4" t="s">
        <v>39</v>
      </c>
      <c r="R92" s="4" t="s">
        <v>38</v>
      </c>
      <c r="S92" s="4" t="s">
        <v>38</v>
      </c>
      <c r="T92" s="4" t="s">
        <v>38</v>
      </c>
      <c r="U92" s="4" t="s">
        <v>37</v>
      </c>
      <c r="V92" s="4" t="s">
        <v>36</v>
      </c>
      <c r="W92" s="4" t="s">
        <v>36</v>
      </c>
      <c r="X92" s="4" t="s">
        <v>37</v>
      </c>
      <c r="Y92" s="4" t="s">
        <v>38</v>
      </c>
      <c r="Z92" s="4" t="s">
        <v>37</v>
      </c>
      <c r="AA92" s="4" t="s">
        <v>38</v>
      </c>
      <c r="AB92" s="4" t="s">
        <v>33</v>
      </c>
      <c r="AC92" s="4" t="s">
        <v>40</v>
      </c>
      <c r="AF92" s="7">
        <f>Table13[[#This Row],[Completion time]]-Table13[[#This Row],[Start time]]</f>
        <v>4.3171296347281896E-3</v>
      </c>
      <c r="AG92" s="8">
        <f>2026-Table13[[#This Row],[What is your year of birth? ]]</f>
        <v>44</v>
      </c>
      <c r="AH92">
        <f>2026-Table13[[#This Row],[Please indicate the year you graduated from the Faculty of Medicine]]</f>
        <v>20</v>
      </c>
      <c r="AI92">
        <f t="shared" si="17"/>
        <v>1</v>
      </c>
      <c r="AJ92">
        <f t="shared" si="18"/>
        <v>1</v>
      </c>
      <c r="AK92">
        <f t="shared" si="19"/>
        <v>0</v>
      </c>
      <c r="AL92">
        <f t="shared" si="20"/>
        <v>0</v>
      </c>
      <c r="AM92">
        <f t="shared" si="21"/>
        <v>1</v>
      </c>
      <c r="AN92">
        <f t="shared" si="22"/>
        <v>1</v>
      </c>
      <c r="AO92">
        <f t="shared" si="23"/>
        <v>1</v>
      </c>
      <c r="AP92">
        <f t="shared" si="24"/>
        <v>1</v>
      </c>
      <c r="AQ92">
        <f t="shared" si="25"/>
        <v>1</v>
      </c>
      <c r="AR92">
        <f t="shared" si="26"/>
        <v>0</v>
      </c>
      <c r="AS92">
        <f t="shared" si="27"/>
        <v>0</v>
      </c>
      <c r="AT92">
        <f t="shared" si="28"/>
        <v>0</v>
      </c>
      <c r="AU92">
        <f t="shared" si="29"/>
        <v>1</v>
      </c>
      <c r="AV92">
        <f t="shared" si="30"/>
        <v>0</v>
      </c>
      <c r="AW92">
        <f t="shared" si="31"/>
        <v>1</v>
      </c>
      <c r="AX92">
        <f t="shared" si="32"/>
        <v>9</v>
      </c>
      <c r="AY92">
        <f>IF(Table13[[#This Row],[Please choose your sex]]="Male",0,1)</f>
        <v>0</v>
      </c>
      <c r="AZ92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92">
        <f>IF(Table13[[#This Row],[Do you hold a subspecialty qualification (degree / certificate) in Reproductive Endocrinology and Infertility?
]]="No",0,1)</f>
        <v>1</v>
      </c>
      <c r="BB92">
        <f>IF(Table13[[#This Row],[Do you provide clinical care for the management of infertility?]]="No",0,1)</f>
        <v>1</v>
      </c>
      <c r="BC92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92">
        <f>IF(Table13[[#This Row],[Do you have access to evidence-based clinical guidelines at your workplace?]]="No",0,1)</f>
        <v>1</v>
      </c>
      <c r="BE92">
        <f>IF(OR(Table13[[#This Row],[What is your practice setting? (Select all that apply.)]]="University hospital ;",Table13[[#This Row],[What is your practice setting? (Select all that apply.)]]="Public hospital ;"),1,0)</f>
        <v>0</v>
      </c>
      <c r="BF92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93" spans="1:58" ht="16" x14ac:dyDescent="0.2">
      <c r="A93" s="4">
        <v>79</v>
      </c>
      <c r="B93" s="5">
        <v>46152.924259259256</v>
      </c>
      <c r="C93" s="5">
        <v>46152.926469907405</v>
      </c>
      <c r="D93" s="4" t="s">
        <v>29</v>
      </c>
      <c r="E93" s="6">
        <v>1996</v>
      </c>
      <c r="F93" s="4" t="s">
        <v>44</v>
      </c>
      <c r="G93" s="6">
        <v>2020</v>
      </c>
      <c r="H93" s="4" t="s">
        <v>50</v>
      </c>
      <c r="I93" s="4" t="s">
        <v>32</v>
      </c>
      <c r="J93" s="4" t="s">
        <v>33</v>
      </c>
      <c r="K93" s="4" t="s">
        <v>34</v>
      </c>
      <c r="L93" s="4" t="s">
        <v>84</v>
      </c>
      <c r="M93" s="4" t="s">
        <v>47</v>
      </c>
      <c r="N93" s="4" t="s">
        <v>37</v>
      </c>
      <c r="O93" s="4" t="s">
        <v>47</v>
      </c>
      <c r="P93" s="4" t="s">
        <v>39</v>
      </c>
      <c r="Q93" s="4" t="s">
        <v>39</v>
      </c>
      <c r="R93" s="4" t="s">
        <v>36</v>
      </c>
      <c r="S93" s="4" t="s">
        <v>38</v>
      </c>
      <c r="T93" s="4" t="s">
        <v>38</v>
      </c>
      <c r="U93" s="4" t="s">
        <v>37</v>
      </c>
      <c r="V93" s="4" t="s">
        <v>47</v>
      </c>
      <c r="W93" s="4" t="s">
        <v>38</v>
      </c>
      <c r="X93" s="4" t="s">
        <v>38</v>
      </c>
      <c r="Y93" s="4" t="s">
        <v>39</v>
      </c>
      <c r="Z93" s="4" t="s">
        <v>39</v>
      </c>
      <c r="AA93" s="4" t="s">
        <v>47</v>
      </c>
      <c r="AB93" s="4" t="s">
        <v>32</v>
      </c>
      <c r="AC93" s="4" t="s">
        <v>57</v>
      </c>
      <c r="AF93" s="7">
        <f>Table13[[#This Row],[Completion time]]-Table13[[#This Row],[Start time]]</f>
        <v>2.2106481483206153E-3</v>
      </c>
      <c r="AG93" s="8">
        <f>2026-Table13[[#This Row],[What is your year of birth? ]]</f>
        <v>30</v>
      </c>
      <c r="AH93">
        <f>2026-Table13[[#This Row],[Please indicate the year you graduated from the Faculty of Medicine]]</f>
        <v>6</v>
      </c>
      <c r="AI93">
        <f t="shared" si="17"/>
        <v>1</v>
      </c>
      <c r="AJ93">
        <f t="shared" si="18"/>
        <v>0</v>
      </c>
      <c r="AK93">
        <f t="shared" si="19"/>
        <v>1</v>
      </c>
      <c r="AL93">
        <f t="shared" si="20"/>
        <v>0</v>
      </c>
      <c r="AM93">
        <f t="shared" si="21"/>
        <v>1</v>
      </c>
      <c r="AN93">
        <f t="shared" si="22"/>
        <v>0</v>
      </c>
      <c r="AO93">
        <f t="shared" si="23"/>
        <v>1</v>
      </c>
      <c r="AP93">
        <f t="shared" si="24"/>
        <v>1</v>
      </c>
      <c r="AQ93">
        <f t="shared" si="25"/>
        <v>1</v>
      </c>
      <c r="AR93">
        <f t="shared" si="26"/>
        <v>1</v>
      </c>
      <c r="AS93">
        <f t="shared" si="27"/>
        <v>1</v>
      </c>
      <c r="AT93">
        <f t="shared" si="28"/>
        <v>1</v>
      </c>
      <c r="AU93">
        <f t="shared" si="29"/>
        <v>0</v>
      </c>
      <c r="AV93">
        <f t="shared" si="30"/>
        <v>0</v>
      </c>
      <c r="AW93">
        <f t="shared" si="31"/>
        <v>1</v>
      </c>
      <c r="AX93">
        <f t="shared" si="32"/>
        <v>10</v>
      </c>
      <c r="AY93">
        <f>IF(Table13[[#This Row],[Please choose your sex]]="Male",0,1)</f>
        <v>1</v>
      </c>
      <c r="AZ93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93">
        <f>IF(Table13[[#This Row],[Do you hold a subspecialty qualification (degree / certificate) in Reproductive Endocrinology and Infertility?
]]="No",0,1)</f>
        <v>0</v>
      </c>
      <c r="BB93">
        <f>IF(Table13[[#This Row],[Do you provide clinical care for the management of infertility?]]="No",0,1)</f>
        <v>1</v>
      </c>
      <c r="BC93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93">
        <f>IF(Table13[[#This Row],[Do you have access to evidence-based clinical guidelines at your workplace?]]="No",0,1)</f>
        <v>0</v>
      </c>
      <c r="BE93">
        <f>IF(OR(Table13[[#This Row],[What is your practice setting? (Select all that apply.)]]="University hospital ;",Table13[[#This Row],[What is your practice setting? (Select all that apply.)]]="Public hospital ;"),1,0)</f>
        <v>0</v>
      </c>
      <c r="BF93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94" spans="1:58" ht="16" x14ac:dyDescent="0.2">
      <c r="A94" s="4">
        <v>80</v>
      </c>
      <c r="B94" s="5">
        <v>46152.926689814813</v>
      </c>
      <c r="C94" s="5">
        <v>46152.927523148152</v>
      </c>
      <c r="D94" s="4" t="s">
        <v>29</v>
      </c>
      <c r="E94" s="6">
        <v>1995</v>
      </c>
      <c r="F94" s="4" t="s">
        <v>30</v>
      </c>
      <c r="G94" s="6">
        <v>2019</v>
      </c>
      <c r="H94" s="4" t="s">
        <v>50</v>
      </c>
      <c r="I94" s="4" t="s">
        <v>32</v>
      </c>
      <c r="J94" s="4" t="s">
        <v>33</v>
      </c>
      <c r="K94" s="4" t="s">
        <v>66</v>
      </c>
      <c r="L94" s="4" t="s">
        <v>64</v>
      </c>
      <c r="M94" s="4" t="s">
        <v>47</v>
      </c>
      <c r="N94" s="4" t="s">
        <v>37</v>
      </c>
      <c r="O94" s="4" t="s">
        <v>47</v>
      </c>
      <c r="P94" s="4" t="s">
        <v>39</v>
      </c>
      <c r="Q94" s="4" t="s">
        <v>39</v>
      </c>
      <c r="R94" s="4" t="s">
        <v>36</v>
      </c>
      <c r="S94" s="4" t="s">
        <v>47</v>
      </c>
      <c r="T94" s="4" t="s">
        <v>36</v>
      </c>
      <c r="U94" s="4" t="s">
        <v>39</v>
      </c>
      <c r="V94" s="4" t="s">
        <v>38</v>
      </c>
      <c r="W94" s="4" t="s">
        <v>36</v>
      </c>
      <c r="X94" s="4" t="s">
        <v>36</v>
      </c>
      <c r="Y94" s="4" t="s">
        <v>39</v>
      </c>
      <c r="Z94" s="4" t="s">
        <v>39</v>
      </c>
      <c r="AA94" s="4" t="s">
        <v>47</v>
      </c>
      <c r="AB94" s="4" t="s">
        <v>33</v>
      </c>
      <c r="AC94" s="4" t="s">
        <v>82</v>
      </c>
      <c r="AF94" s="7">
        <f>Table13[[#This Row],[Completion time]]-Table13[[#This Row],[Start time]]</f>
        <v>8.3333333896007389E-4</v>
      </c>
      <c r="AG94" s="8">
        <f>2026-Table13[[#This Row],[What is your year of birth? ]]</f>
        <v>31</v>
      </c>
      <c r="AH94">
        <f>2026-Table13[[#This Row],[Please indicate the year you graduated from the Faculty of Medicine]]</f>
        <v>7</v>
      </c>
      <c r="AI94">
        <f t="shared" si="17"/>
        <v>1</v>
      </c>
      <c r="AJ94">
        <f t="shared" si="18"/>
        <v>0</v>
      </c>
      <c r="AK94">
        <f t="shared" si="19"/>
        <v>1</v>
      </c>
      <c r="AL94">
        <f t="shared" si="20"/>
        <v>0</v>
      </c>
      <c r="AM94">
        <f t="shared" si="21"/>
        <v>1</v>
      </c>
      <c r="AN94">
        <f t="shared" si="22"/>
        <v>0</v>
      </c>
      <c r="AO94">
        <f t="shared" si="23"/>
        <v>1</v>
      </c>
      <c r="AP94">
        <f t="shared" si="24"/>
        <v>0</v>
      </c>
      <c r="AQ94">
        <f t="shared" si="25"/>
        <v>1</v>
      </c>
      <c r="AR94">
        <f t="shared" si="26"/>
        <v>1</v>
      </c>
      <c r="AS94">
        <f t="shared" si="27"/>
        <v>0</v>
      </c>
      <c r="AT94">
        <f t="shared" si="28"/>
        <v>0</v>
      </c>
      <c r="AU94">
        <f t="shared" si="29"/>
        <v>0</v>
      </c>
      <c r="AV94">
        <f t="shared" si="30"/>
        <v>0</v>
      </c>
      <c r="AW94">
        <f t="shared" si="31"/>
        <v>1</v>
      </c>
      <c r="AX94">
        <f t="shared" si="32"/>
        <v>7</v>
      </c>
      <c r="AY94">
        <f>IF(Table13[[#This Row],[Please choose your sex]]="Male",0,1)</f>
        <v>0</v>
      </c>
      <c r="AZ94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94">
        <f>IF(Table13[[#This Row],[Do you hold a subspecialty qualification (degree / certificate) in Reproductive Endocrinology and Infertility?
]]="No",0,1)</f>
        <v>0</v>
      </c>
      <c r="BB94">
        <f>IF(Table13[[#This Row],[Do you provide clinical care for the management of infertility?]]="No",0,1)</f>
        <v>1</v>
      </c>
      <c r="BC94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94">
        <f>IF(Table13[[#This Row],[Do you have access to evidence-based clinical guidelines at your workplace?]]="No",0,1)</f>
        <v>1</v>
      </c>
      <c r="BE94">
        <f>IF(OR(Table13[[#This Row],[What is your practice setting? (Select all that apply.)]]="University hospital ;",Table13[[#This Row],[What is your practice setting? (Select all that apply.)]]="Public hospital ;"),1,0)</f>
        <v>0</v>
      </c>
      <c r="BF94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95" spans="1:58" ht="16" x14ac:dyDescent="0.2">
      <c r="A95" s="4">
        <v>81</v>
      </c>
      <c r="B95" s="5">
        <v>46156.541122685187</v>
      </c>
      <c r="C95" s="5">
        <v>46156.543657407405</v>
      </c>
      <c r="D95" s="4" t="s">
        <v>29</v>
      </c>
      <c r="E95" s="6">
        <v>1970</v>
      </c>
      <c r="F95" s="4" t="s">
        <v>44</v>
      </c>
      <c r="G95" s="6">
        <v>1970</v>
      </c>
      <c r="H95" s="4" t="s">
        <v>31</v>
      </c>
      <c r="I95" s="4" t="s">
        <v>33</v>
      </c>
      <c r="J95" s="4" t="s">
        <v>33</v>
      </c>
      <c r="K95" s="4" t="s">
        <v>42</v>
      </c>
      <c r="L95" s="4" t="s">
        <v>62</v>
      </c>
      <c r="M95" s="4" t="s">
        <v>37</v>
      </c>
      <c r="N95" s="4" t="s">
        <v>37</v>
      </c>
      <c r="O95" s="4" t="s">
        <v>36</v>
      </c>
      <c r="P95" s="4" t="s">
        <v>37</v>
      </c>
      <c r="Q95" s="4" t="s">
        <v>37</v>
      </c>
      <c r="R95" s="4" t="s">
        <v>38</v>
      </c>
      <c r="S95" s="4" t="s">
        <v>38</v>
      </c>
      <c r="T95" s="4" t="s">
        <v>36</v>
      </c>
      <c r="U95" s="4" t="s">
        <v>37</v>
      </c>
      <c r="V95" s="4" t="s">
        <v>37</v>
      </c>
      <c r="W95" s="4" t="s">
        <v>36</v>
      </c>
      <c r="X95" s="4" t="s">
        <v>38</v>
      </c>
      <c r="Y95" s="4" t="s">
        <v>37</v>
      </c>
      <c r="Z95" s="4" t="s">
        <v>37</v>
      </c>
      <c r="AA95" s="4" t="s">
        <v>36</v>
      </c>
      <c r="AB95" s="4" t="s">
        <v>33</v>
      </c>
      <c r="AC95" s="4" t="s">
        <v>40</v>
      </c>
      <c r="AF95" s="7">
        <f>Table13[[#This Row],[Completion time]]-Table13[[#This Row],[Start time]]</f>
        <v>2.5347222181153484E-3</v>
      </c>
      <c r="AG95" s="8">
        <f>2026-Table13[[#This Row],[What is your year of birth? ]]</f>
        <v>56</v>
      </c>
      <c r="AH95">
        <f>2026-Table13[[#This Row],[Please indicate the year you graduated from the Faculty of Medicine]]</f>
        <v>56</v>
      </c>
      <c r="AI95">
        <f t="shared" si="17"/>
        <v>0</v>
      </c>
      <c r="AJ95">
        <f t="shared" si="18"/>
        <v>0</v>
      </c>
      <c r="AK95">
        <f t="shared" si="19"/>
        <v>0</v>
      </c>
      <c r="AL95">
        <f t="shared" si="20"/>
        <v>0</v>
      </c>
      <c r="AM95">
        <f t="shared" si="21"/>
        <v>1</v>
      </c>
      <c r="AN95">
        <f t="shared" si="22"/>
        <v>1</v>
      </c>
      <c r="AO95">
        <f t="shared" si="23"/>
        <v>1</v>
      </c>
      <c r="AP95">
        <f t="shared" si="24"/>
        <v>0</v>
      </c>
      <c r="AQ95">
        <f t="shared" si="25"/>
        <v>1</v>
      </c>
      <c r="AR95">
        <f t="shared" si="26"/>
        <v>0</v>
      </c>
      <c r="AS95">
        <f t="shared" si="27"/>
        <v>0</v>
      </c>
      <c r="AT95">
        <f t="shared" si="28"/>
        <v>1</v>
      </c>
      <c r="AU95">
        <f t="shared" si="29"/>
        <v>0</v>
      </c>
      <c r="AV95">
        <f t="shared" si="30"/>
        <v>0</v>
      </c>
      <c r="AW95">
        <f t="shared" si="31"/>
        <v>0</v>
      </c>
      <c r="AX95">
        <f t="shared" si="32"/>
        <v>5</v>
      </c>
      <c r="AY95">
        <f>IF(Table13[[#This Row],[Please choose your sex]]="Male",0,1)</f>
        <v>1</v>
      </c>
      <c r="AZ95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95">
        <f>IF(Table13[[#This Row],[Do you hold a subspecialty qualification (degree / certificate) in Reproductive Endocrinology and Infertility?
]]="No",0,1)</f>
        <v>1</v>
      </c>
      <c r="BB95">
        <f>IF(Table13[[#This Row],[Do you provide clinical care for the management of infertility?]]="No",0,1)</f>
        <v>1</v>
      </c>
      <c r="BC95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95">
        <f>IF(Table13[[#This Row],[Do you have access to evidence-based clinical guidelines at your workplace?]]="No",0,1)</f>
        <v>1</v>
      </c>
      <c r="BE95">
        <f>IF(OR(Table13[[#This Row],[What is your practice setting? (Select all that apply.)]]="University hospital ;",Table13[[#This Row],[What is your practice setting? (Select all that apply.)]]="Public hospital ;"),1,0)</f>
        <v>0</v>
      </c>
      <c r="BF95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96" spans="1:58" ht="16" x14ac:dyDescent="0.2">
      <c r="A96" s="4">
        <v>82</v>
      </c>
      <c r="B96" s="5">
        <v>46163.774386574078</v>
      </c>
      <c r="C96" s="5">
        <v>46163.779467592591</v>
      </c>
      <c r="D96" s="4" t="s">
        <v>29</v>
      </c>
      <c r="E96" s="6">
        <v>1984</v>
      </c>
      <c r="F96" s="4" t="s">
        <v>30</v>
      </c>
      <c r="G96" s="6">
        <v>2007</v>
      </c>
      <c r="H96" s="4" t="s">
        <v>50</v>
      </c>
      <c r="I96" s="4" t="s">
        <v>33</v>
      </c>
      <c r="J96" s="4" t="s">
        <v>33</v>
      </c>
      <c r="K96" s="4" t="s">
        <v>42</v>
      </c>
      <c r="L96" s="4" t="s">
        <v>83</v>
      </c>
      <c r="M96" s="4" t="s">
        <v>38</v>
      </c>
      <c r="N96" s="4" t="s">
        <v>37</v>
      </c>
      <c r="O96" s="4" t="s">
        <v>37</v>
      </c>
      <c r="P96" s="4" t="s">
        <v>37</v>
      </c>
      <c r="Q96" s="4" t="s">
        <v>39</v>
      </c>
      <c r="R96" s="4" t="s">
        <v>38</v>
      </c>
      <c r="S96" s="4" t="s">
        <v>38</v>
      </c>
      <c r="T96" s="4" t="s">
        <v>38</v>
      </c>
      <c r="U96" s="4" t="s">
        <v>37</v>
      </c>
      <c r="V96" s="4" t="s">
        <v>37</v>
      </c>
      <c r="W96" s="4" t="s">
        <v>38</v>
      </c>
      <c r="X96" s="4" t="s">
        <v>38</v>
      </c>
      <c r="Y96" s="4" t="s">
        <v>37</v>
      </c>
      <c r="Z96" s="4" t="s">
        <v>38</v>
      </c>
      <c r="AA96" s="4" t="s">
        <v>38</v>
      </c>
      <c r="AB96" s="4" t="s">
        <v>33</v>
      </c>
      <c r="AC96" s="4" t="s">
        <v>40</v>
      </c>
      <c r="AF96" s="7">
        <f>Table13[[#This Row],[Completion time]]-Table13[[#This Row],[Start time]]</f>
        <v>5.0810185130103491E-3</v>
      </c>
      <c r="AG96" s="8">
        <f>2026-Table13[[#This Row],[What is your year of birth? ]]</f>
        <v>42</v>
      </c>
      <c r="AH96">
        <f>2026-Table13[[#This Row],[Please indicate the year you graduated from the Faculty of Medicine]]</f>
        <v>19</v>
      </c>
      <c r="AI96">
        <f t="shared" si="17"/>
        <v>1</v>
      </c>
      <c r="AJ96">
        <f t="shared" si="18"/>
        <v>0</v>
      </c>
      <c r="AK96">
        <f t="shared" si="19"/>
        <v>0</v>
      </c>
      <c r="AL96">
        <f t="shared" si="20"/>
        <v>0</v>
      </c>
      <c r="AM96">
        <f t="shared" si="21"/>
        <v>1</v>
      </c>
      <c r="AN96">
        <f t="shared" si="22"/>
        <v>1</v>
      </c>
      <c r="AO96">
        <f t="shared" si="23"/>
        <v>1</v>
      </c>
      <c r="AP96">
        <f t="shared" si="24"/>
        <v>1</v>
      </c>
      <c r="AQ96">
        <f t="shared" si="25"/>
        <v>1</v>
      </c>
      <c r="AR96">
        <f t="shared" si="26"/>
        <v>0</v>
      </c>
      <c r="AS96">
        <f t="shared" si="27"/>
        <v>1</v>
      </c>
      <c r="AT96">
        <f t="shared" si="28"/>
        <v>1</v>
      </c>
      <c r="AU96">
        <f t="shared" si="29"/>
        <v>0</v>
      </c>
      <c r="AV96">
        <f t="shared" si="30"/>
        <v>1</v>
      </c>
      <c r="AW96">
        <f t="shared" si="31"/>
        <v>1</v>
      </c>
      <c r="AX96">
        <f t="shared" si="32"/>
        <v>10</v>
      </c>
      <c r="AY96">
        <f>IF(Table13[[#This Row],[Please choose your sex]]="Male",0,1)</f>
        <v>0</v>
      </c>
      <c r="AZ96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96">
        <f>IF(Table13[[#This Row],[Do you hold a subspecialty qualification (degree / certificate) in Reproductive Endocrinology and Infertility?
]]="No",0,1)</f>
        <v>1</v>
      </c>
      <c r="BB96">
        <f>IF(Table13[[#This Row],[Do you provide clinical care for the management of infertility?]]="No",0,1)</f>
        <v>1</v>
      </c>
      <c r="BC96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96">
        <f>IF(Table13[[#This Row],[Do you have access to evidence-based clinical guidelines at your workplace?]]="No",0,1)</f>
        <v>1</v>
      </c>
      <c r="BE96">
        <f>IF(OR(Table13[[#This Row],[What is your practice setting? (Select all that apply.)]]="University hospital ;",Table13[[#This Row],[What is your practice setting? (Select all that apply.)]]="Public hospital ;"),1,0)</f>
        <v>0</v>
      </c>
      <c r="BF96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97" spans="1:58" ht="16" x14ac:dyDescent="0.2">
      <c r="A97" s="4">
        <v>83</v>
      </c>
      <c r="B97" s="5">
        <v>46167.79277777778</v>
      </c>
      <c r="C97" s="5">
        <v>46167.795451388891</v>
      </c>
      <c r="D97" s="4" t="s">
        <v>29</v>
      </c>
      <c r="E97" s="6">
        <v>1989</v>
      </c>
      <c r="F97" s="4" t="s">
        <v>30</v>
      </c>
      <c r="G97" s="6">
        <v>2012</v>
      </c>
      <c r="H97" s="4" t="s">
        <v>45</v>
      </c>
      <c r="I97" s="4" t="s">
        <v>32</v>
      </c>
      <c r="J97" s="4" t="s">
        <v>33</v>
      </c>
      <c r="K97" s="4" t="s">
        <v>34</v>
      </c>
      <c r="L97" s="4" t="s">
        <v>46</v>
      </c>
      <c r="M97" s="4" t="s">
        <v>38</v>
      </c>
      <c r="N97" s="4" t="s">
        <v>38</v>
      </c>
      <c r="O97" s="4" t="s">
        <v>36</v>
      </c>
      <c r="P97" s="4" t="s">
        <v>37</v>
      </c>
      <c r="Q97" s="4" t="s">
        <v>39</v>
      </c>
      <c r="R97" s="4" t="s">
        <v>38</v>
      </c>
      <c r="S97" s="4" t="s">
        <v>38</v>
      </c>
      <c r="T97" s="4" t="s">
        <v>38</v>
      </c>
      <c r="U97" s="4" t="s">
        <v>39</v>
      </c>
      <c r="V97" s="4" t="s">
        <v>38</v>
      </c>
      <c r="W97" s="4" t="s">
        <v>38</v>
      </c>
      <c r="X97" s="4" t="s">
        <v>38</v>
      </c>
      <c r="Y97" s="4" t="s">
        <v>38</v>
      </c>
      <c r="Z97" s="4" t="s">
        <v>38</v>
      </c>
      <c r="AA97" s="4" t="s">
        <v>38</v>
      </c>
      <c r="AB97" s="4" t="s">
        <v>32</v>
      </c>
      <c r="AC97" s="4" t="s">
        <v>93</v>
      </c>
      <c r="AF97" s="7">
        <f>Table13[[#This Row],[Completion time]]-Table13[[#This Row],[Start time]]</f>
        <v>2.6736111103673466E-3</v>
      </c>
      <c r="AG97" s="8">
        <f>2026-Table13[[#This Row],[What is your year of birth? ]]</f>
        <v>37</v>
      </c>
      <c r="AH97">
        <f>2026-Table13[[#This Row],[Please indicate the year you graduated from the Faculty of Medicine]]</f>
        <v>14</v>
      </c>
      <c r="AI97">
        <f t="shared" si="17"/>
        <v>1</v>
      </c>
      <c r="AJ97">
        <f t="shared" si="18"/>
        <v>1</v>
      </c>
      <c r="AK97">
        <f t="shared" si="19"/>
        <v>0</v>
      </c>
      <c r="AL97">
        <f t="shared" si="20"/>
        <v>0</v>
      </c>
      <c r="AM97">
        <f t="shared" si="21"/>
        <v>1</v>
      </c>
      <c r="AN97">
        <f t="shared" si="22"/>
        <v>1</v>
      </c>
      <c r="AO97">
        <f t="shared" si="23"/>
        <v>1</v>
      </c>
      <c r="AP97">
        <f t="shared" si="24"/>
        <v>1</v>
      </c>
      <c r="AQ97">
        <f t="shared" si="25"/>
        <v>1</v>
      </c>
      <c r="AR97">
        <f t="shared" si="26"/>
        <v>1</v>
      </c>
      <c r="AS97">
        <f t="shared" si="27"/>
        <v>1</v>
      </c>
      <c r="AT97">
        <f t="shared" si="28"/>
        <v>1</v>
      </c>
      <c r="AU97">
        <f t="shared" si="29"/>
        <v>1</v>
      </c>
      <c r="AV97">
        <f t="shared" si="30"/>
        <v>1</v>
      </c>
      <c r="AW97">
        <f t="shared" si="31"/>
        <v>1</v>
      </c>
      <c r="AX97">
        <f t="shared" si="32"/>
        <v>13</v>
      </c>
      <c r="AY97">
        <f>IF(Table13[[#This Row],[Please choose your sex]]="Male",0,1)</f>
        <v>0</v>
      </c>
      <c r="AZ97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97">
        <f>IF(Table13[[#This Row],[Do you hold a subspecialty qualification (degree / certificate) in Reproductive Endocrinology and Infertility?
]]="No",0,1)</f>
        <v>0</v>
      </c>
      <c r="BB97">
        <f>IF(Table13[[#This Row],[Do you provide clinical care for the management of infertility?]]="No",0,1)</f>
        <v>1</v>
      </c>
      <c r="BC97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97">
        <f>IF(Table13[[#This Row],[Do you have access to evidence-based clinical guidelines at your workplace?]]="No",0,1)</f>
        <v>0</v>
      </c>
      <c r="BE97">
        <f>IF(OR(Table13[[#This Row],[What is your practice setting? (Select all that apply.)]]="University hospital ;",Table13[[#This Row],[What is your practice setting? (Select all that apply.)]]="Public hospital ;"),1,0)</f>
        <v>0</v>
      </c>
      <c r="BF97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98" spans="1:58" ht="16" x14ac:dyDescent="0.2">
      <c r="A98" s="4">
        <v>84</v>
      </c>
      <c r="B98" s="5">
        <v>46174.46597222222</v>
      </c>
      <c r="C98" s="5">
        <v>46174.467719907407</v>
      </c>
      <c r="D98" s="4" t="s">
        <v>29</v>
      </c>
      <c r="E98" s="6">
        <v>1996</v>
      </c>
      <c r="F98" s="4" t="s">
        <v>30</v>
      </c>
      <c r="G98" s="6">
        <v>2020</v>
      </c>
      <c r="H98" s="4" t="s">
        <v>50</v>
      </c>
      <c r="I98" s="4" t="s">
        <v>32</v>
      </c>
      <c r="J98" s="4" t="s">
        <v>33</v>
      </c>
      <c r="K98" s="4" t="s">
        <v>34</v>
      </c>
      <c r="L98" s="4" t="s">
        <v>84</v>
      </c>
      <c r="M98" s="4" t="s">
        <v>38</v>
      </c>
      <c r="N98" s="4" t="s">
        <v>36</v>
      </c>
      <c r="O98" s="4" t="s">
        <v>36</v>
      </c>
      <c r="P98" s="4" t="s">
        <v>37</v>
      </c>
      <c r="Q98" s="4" t="s">
        <v>39</v>
      </c>
      <c r="R98" s="4" t="s">
        <v>36</v>
      </c>
      <c r="S98" s="4" t="s">
        <v>36</v>
      </c>
      <c r="T98" s="4" t="s">
        <v>47</v>
      </c>
      <c r="U98" s="4" t="s">
        <v>39</v>
      </c>
      <c r="V98" s="4" t="s">
        <v>47</v>
      </c>
      <c r="W98" s="4" t="s">
        <v>36</v>
      </c>
      <c r="X98" s="4" t="s">
        <v>36</v>
      </c>
      <c r="Y98" s="4" t="s">
        <v>39</v>
      </c>
      <c r="Z98" s="4" t="s">
        <v>37</v>
      </c>
      <c r="AA98" s="4" t="s">
        <v>47</v>
      </c>
      <c r="AB98" s="4" t="s">
        <v>32</v>
      </c>
      <c r="AC98" s="4" t="s">
        <v>82</v>
      </c>
      <c r="AF98" s="7">
        <f>Table13[[#This Row],[Completion time]]-Table13[[#This Row],[Start time]]</f>
        <v>1.747685186273884E-3</v>
      </c>
      <c r="AG98" s="8">
        <f>2026-Table13[[#This Row],[What is your year of birth? ]]</f>
        <v>30</v>
      </c>
      <c r="AH98">
        <f>2026-Table13[[#This Row],[Please indicate the year you graduated from the Faculty of Medicine]]</f>
        <v>6</v>
      </c>
      <c r="AI98">
        <f t="shared" si="17"/>
        <v>1</v>
      </c>
      <c r="AJ98">
        <f t="shared" si="18"/>
        <v>0</v>
      </c>
      <c r="AK98">
        <f t="shared" si="19"/>
        <v>0</v>
      </c>
      <c r="AL98">
        <f t="shared" si="20"/>
        <v>0</v>
      </c>
      <c r="AM98">
        <f t="shared" si="21"/>
        <v>1</v>
      </c>
      <c r="AN98">
        <f t="shared" si="22"/>
        <v>0</v>
      </c>
      <c r="AO98">
        <f t="shared" si="23"/>
        <v>0</v>
      </c>
      <c r="AP98">
        <f t="shared" si="24"/>
        <v>1</v>
      </c>
      <c r="AQ98">
        <f t="shared" si="25"/>
        <v>1</v>
      </c>
      <c r="AR98">
        <f t="shared" si="26"/>
        <v>1</v>
      </c>
      <c r="AS98">
        <f t="shared" si="27"/>
        <v>0</v>
      </c>
      <c r="AT98">
        <f t="shared" si="28"/>
        <v>0</v>
      </c>
      <c r="AU98">
        <f t="shared" si="29"/>
        <v>0</v>
      </c>
      <c r="AV98">
        <f t="shared" si="30"/>
        <v>0</v>
      </c>
      <c r="AW98">
        <f t="shared" si="31"/>
        <v>1</v>
      </c>
      <c r="AX98">
        <f t="shared" si="32"/>
        <v>6</v>
      </c>
      <c r="AY98">
        <f>IF(Table13[[#This Row],[Please choose your sex]]="Male",0,1)</f>
        <v>0</v>
      </c>
      <c r="AZ98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98">
        <f>IF(Table13[[#This Row],[Do you hold a subspecialty qualification (degree / certificate) in Reproductive Endocrinology and Infertility?
]]="No",0,1)</f>
        <v>0</v>
      </c>
      <c r="BB98">
        <f>IF(Table13[[#This Row],[Do you provide clinical care for the management of infertility?]]="No",0,1)</f>
        <v>1</v>
      </c>
      <c r="BC98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98">
        <f>IF(Table13[[#This Row],[Do you have access to evidence-based clinical guidelines at your workplace?]]="No",0,1)</f>
        <v>0</v>
      </c>
      <c r="BE98">
        <f>IF(OR(Table13[[#This Row],[What is your practice setting? (Select all that apply.)]]="University hospital ;",Table13[[#This Row],[What is your practice setting? (Select all that apply.)]]="Public hospital ;"),1,0)</f>
        <v>0</v>
      </c>
      <c r="BF98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99" spans="1:58" ht="16" x14ac:dyDescent="0.2">
      <c r="A99" s="4">
        <v>85</v>
      </c>
      <c r="B99" s="5">
        <v>46174.467800925922</v>
      </c>
      <c r="C99" s="5">
        <v>46174.4687037037</v>
      </c>
      <c r="D99" s="4" t="s">
        <v>29</v>
      </c>
      <c r="E99" s="6">
        <v>1995</v>
      </c>
      <c r="F99" s="4" t="s">
        <v>44</v>
      </c>
      <c r="G99" s="6">
        <v>2019</v>
      </c>
      <c r="H99" s="4" t="s">
        <v>75</v>
      </c>
      <c r="I99" s="4" t="s">
        <v>32</v>
      </c>
      <c r="J99" s="4" t="s">
        <v>33</v>
      </c>
      <c r="K99" s="4" t="s">
        <v>66</v>
      </c>
      <c r="L99" s="4" t="s">
        <v>74</v>
      </c>
      <c r="M99" s="4" t="s">
        <v>47</v>
      </c>
      <c r="N99" s="4" t="s">
        <v>47</v>
      </c>
      <c r="O99" s="4" t="s">
        <v>47</v>
      </c>
      <c r="P99" s="4" t="s">
        <v>39</v>
      </c>
      <c r="Q99" s="4" t="s">
        <v>39</v>
      </c>
      <c r="R99" s="4" t="s">
        <v>47</v>
      </c>
      <c r="S99" s="4" t="s">
        <v>47</v>
      </c>
      <c r="T99" s="4" t="s">
        <v>47</v>
      </c>
      <c r="U99" s="4" t="s">
        <v>39</v>
      </c>
      <c r="V99" s="4" t="s">
        <v>47</v>
      </c>
      <c r="W99" s="4" t="s">
        <v>36</v>
      </c>
      <c r="X99" s="4" t="s">
        <v>36</v>
      </c>
      <c r="Y99" s="4" t="s">
        <v>37</v>
      </c>
      <c r="Z99" s="4" t="s">
        <v>39</v>
      </c>
      <c r="AA99" s="4" t="s">
        <v>47</v>
      </c>
      <c r="AB99" s="4" t="s">
        <v>32</v>
      </c>
      <c r="AC99" s="4" t="s">
        <v>57</v>
      </c>
      <c r="AF99" s="7">
        <f>Table13[[#This Row],[Completion time]]-Table13[[#This Row],[Start time]]</f>
        <v>9.0277777781011537E-4</v>
      </c>
      <c r="AG99" s="8">
        <f>2026-Table13[[#This Row],[What is your year of birth? ]]</f>
        <v>31</v>
      </c>
      <c r="AH99">
        <f>2026-Table13[[#This Row],[Please indicate the year you graduated from the Faculty of Medicine]]</f>
        <v>7</v>
      </c>
      <c r="AI99">
        <f t="shared" si="17"/>
        <v>1</v>
      </c>
      <c r="AJ99">
        <f t="shared" si="18"/>
        <v>1</v>
      </c>
      <c r="AK99">
        <f t="shared" si="19"/>
        <v>1</v>
      </c>
      <c r="AL99">
        <f t="shared" si="20"/>
        <v>0</v>
      </c>
      <c r="AM99">
        <f t="shared" si="21"/>
        <v>1</v>
      </c>
      <c r="AN99">
        <f t="shared" si="22"/>
        <v>1</v>
      </c>
      <c r="AO99">
        <f t="shared" si="23"/>
        <v>1</v>
      </c>
      <c r="AP99">
        <f t="shared" si="24"/>
        <v>1</v>
      </c>
      <c r="AQ99">
        <f t="shared" si="25"/>
        <v>1</v>
      </c>
      <c r="AR99">
        <f t="shared" si="26"/>
        <v>1</v>
      </c>
      <c r="AS99">
        <f t="shared" si="27"/>
        <v>0</v>
      </c>
      <c r="AT99">
        <f t="shared" si="28"/>
        <v>0</v>
      </c>
      <c r="AU99">
        <f t="shared" si="29"/>
        <v>0</v>
      </c>
      <c r="AV99">
        <f t="shared" si="30"/>
        <v>0</v>
      </c>
      <c r="AW99">
        <f t="shared" si="31"/>
        <v>1</v>
      </c>
      <c r="AX99">
        <f t="shared" si="32"/>
        <v>10</v>
      </c>
      <c r="AY99">
        <f>IF(Table13[[#This Row],[Please choose your sex]]="Male",0,1)</f>
        <v>1</v>
      </c>
      <c r="AZ99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99">
        <f>IF(Table13[[#This Row],[Do you hold a subspecialty qualification (degree / certificate) in Reproductive Endocrinology and Infertility?
]]="No",0,1)</f>
        <v>0</v>
      </c>
      <c r="BB99">
        <f>IF(Table13[[#This Row],[Do you provide clinical care for the management of infertility?]]="No",0,1)</f>
        <v>1</v>
      </c>
      <c r="BC99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99">
        <f>IF(Table13[[#This Row],[Do you have access to evidence-based clinical guidelines at your workplace?]]="No",0,1)</f>
        <v>0</v>
      </c>
      <c r="BE99">
        <f>IF(OR(Table13[[#This Row],[What is your practice setting? (Select all that apply.)]]="University hospital ;",Table13[[#This Row],[What is your practice setting? (Select all that apply.)]]="Public hospital ;"),1,0)</f>
        <v>0</v>
      </c>
      <c r="BF99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00" spans="1:58" ht="16" x14ac:dyDescent="0.2">
      <c r="A100" s="4">
        <v>86</v>
      </c>
      <c r="B100" s="5">
        <v>46174.468726851854</v>
      </c>
      <c r="C100" s="5">
        <v>46174.46947916667</v>
      </c>
      <c r="D100" s="4" t="s">
        <v>29</v>
      </c>
      <c r="E100" s="6">
        <v>1994</v>
      </c>
      <c r="F100" s="4" t="s">
        <v>30</v>
      </c>
      <c r="G100" s="6">
        <v>2018</v>
      </c>
      <c r="H100" s="4" t="s">
        <v>53</v>
      </c>
      <c r="I100" s="4" t="s">
        <v>32</v>
      </c>
      <c r="J100" s="4" t="s">
        <v>33</v>
      </c>
      <c r="K100" s="4" t="s">
        <v>66</v>
      </c>
      <c r="L100" s="4" t="s">
        <v>43</v>
      </c>
      <c r="M100" s="4" t="s">
        <v>47</v>
      </c>
      <c r="N100" s="4" t="s">
        <v>47</v>
      </c>
      <c r="O100" s="4" t="s">
        <v>47</v>
      </c>
      <c r="P100" s="4" t="s">
        <v>37</v>
      </c>
      <c r="Q100" s="4" t="s">
        <v>39</v>
      </c>
      <c r="R100" s="4" t="s">
        <v>47</v>
      </c>
      <c r="S100" s="4" t="s">
        <v>47</v>
      </c>
      <c r="T100" s="4" t="s">
        <v>47</v>
      </c>
      <c r="U100" s="4" t="s">
        <v>39</v>
      </c>
      <c r="V100" s="4" t="s">
        <v>47</v>
      </c>
      <c r="W100" s="4" t="s">
        <v>47</v>
      </c>
      <c r="X100" s="4" t="s">
        <v>47</v>
      </c>
      <c r="Y100" s="4" t="s">
        <v>39</v>
      </c>
      <c r="Z100" s="4" t="s">
        <v>47</v>
      </c>
      <c r="AA100" s="4" t="s">
        <v>47</v>
      </c>
      <c r="AB100" s="4" t="s">
        <v>33</v>
      </c>
      <c r="AC100" s="4" t="s">
        <v>57</v>
      </c>
      <c r="AF100" s="7">
        <f>Table13[[#This Row],[Completion time]]-Table13[[#This Row],[Start time]]</f>
        <v>7.5231481605442241E-4</v>
      </c>
      <c r="AG100" s="8">
        <f>2026-Table13[[#This Row],[What is your year of birth? ]]</f>
        <v>32</v>
      </c>
      <c r="AH100">
        <f>2026-Table13[[#This Row],[Please indicate the year you graduated from the Faculty of Medicine]]</f>
        <v>8</v>
      </c>
      <c r="AI100">
        <f t="shared" si="17"/>
        <v>1</v>
      </c>
      <c r="AJ100">
        <f t="shared" si="18"/>
        <v>1</v>
      </c>
      <c r="AK100">
        <f t="shared" si="19"/>
        <v>1</v>
      </c>
      <c r="AL100">
        <f t="shared" si="20"/>
        <v>0</v>
      </c>
      <c r="AM100">
        <f t="shared" si="21"/>
        <v>1</v>
      </c>
      <c r="AN100">
        <f t="shared" si="22"/>
        <v>1</v>
      </c>
      <c r="AO100">
        <f t="shared" si="23"/>
        <v>1</v>
      </c>
      <c r="AP100">
        <f t="shared" si="24"/>
        <v>1</v>
      </c>
      <c r="AQ100">
        <f t="shared" si="25"/>
        <v>1</v>
      </c>
      <c r="AR100">
        <f t="shared" si="26"/>
        <v>1</v>
      </c>
      <c r="AS100">
        <f t="shared" si="27"/>
        <v>1</v>
      </c>
      <c r="AT100">
        <f t="shared" si="28"/>
        <v>1</v>
      </c>
      <c r="AU100">
        <f t="shared" si="29"/>
        <v>0</v>
      </c>
      <c r="AV100">
        <f t="shared" si="30"/>
        <v>1</v>
      </c>
      <c r="AW100">
        <f t="shared" si="31"/>
        <v>1</v>
      </c>
      <c r="AX100">
        <f t="shared" si="32"/>
        <v>13</v>
      </c>
      <c r="AY100">
        <f>IF(Table13[[#This Row],[Please choose your sex]]="Male",0,1)</f>
        <v>0</v>
      </c>
      <c r="AZ100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00">
        <f>IF(Table13[[#This Row],[Do you hold a subspecialty qualification (degree / certificate) in Reproductive Endocrinology and Infertility?
]]="No",0,1)</f>
        <v>0</v>
      </c>
      <c r="BB100">
        <f>IF(Table13[[#This Row],[Do you provide clinical care for the management of infertility?]]="No",0,1)</f>
        <v>1</v>
      </c>
      <c r="BC100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00">
        <f>IF(Table13[[#This Row],[Do you have access to evidence-based clinical guidelines at your workplace?]]="No",0,1)</f>
        <v>1</v>
      </c>
      <c r="BE100">
        <f>IF(OR(Table13[[#This Row],[What is your practice setting? (Select all that apply.)]]="University hospital ;",Table13[[#This Row],[What is your practice setting? (Select all that apply.)]]="Public hospital ;"),1,0)</f>
        <v>1</v>
      </c>
      <c r="BF100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01" spans="1:58" ht="16" x14ac:dyDescent="0.2">
      <c r="A101" s="4">
        <v>87</v>
      </c>
      <c r="B101" s="5">
        <v>46174.65965277778</v>
      </c>
      <c r="C101" s="5">
        <v>46174.661793981482</v>
      </c>
      <c r="D101" s="4" t="s">
        <v>29</v>
      </c>
      <c r="E101" s="6">
        <v>1989</v>
      </c>
      <c r="F101" s="4" t="s">
        <v>30</v>
      </c>
      <c r="G101" s="6">
        <v>2013</v>
      </c>
      <c r="H101" s="4" t="s">
        <v>45</v>
      </c>
      <c r="I101" s="4" t="s">
        <v>33</v>
      </c>
      <c r="J101" s="4" t="s">
        <v>33</v>
      </c>
      <c r="K101" s="4" t="s">
        <v>34</v>
      </c>
      <c r="L101" s="4" t="s">
        <v>64</v>
      </c>
      <c r="M101" s="4" t="s">
        <v>38</v>
      </c>
      <c r="N101" s="4" t="s">
        <v>38</v>
      </c>
      <c r="O101" s="4" t="s">
        <v>37</v>
      </c>
      <c r="P101" s="4" t="s">
        <v>37</v>
      </c>
      <c r="Q101" s="4" t="s">
        <v>39</v>
      </c>
      <c r="R101" s="4" t="s">
        <v>36</v>
      </c>
      <c r="S101" s="4" t="s">
        <v>38</v>
      </c>
      <c r="T101" s="4" t="s">
        <v>38</v>
      </c>
      <c r="U101" s="4" t="s">
        <v>37</v>
      </c>
      <c r="V101" s="4" t="s">
        <v>37</v>
      </c>
      <c r="W101" s="4" t="s">
        <v>36</v>
      </c>
      <c r="X101" s="4" t="s">
        <v>36</v>
      </c>
      <c r="Y101" s="4" t="s">
        <v>47</v>
      </c>
      <c r="Z101" s="4" t="s">
        <v>37</v>
      </c>
      <c r="AA101" s="4" t="s">
        <v>38</v>
      </c>
      <c r="AB101" s="4" t="s">
        <v>32</v>
      </c>
      <c r="AC101" s="4" t="s">
        <v>59</v>
      </c>
      <c r="AF101" s="7">
        <f>Table13[[#This Row],[Completion time]]-Table13[[#This Row],[Start time]]</f>
        <v>2.1412037021946162E-3</v>
      </c>
      <c r="AG101" s="8">
        <f>2026-Table13[[#This Row],[What is your year of birth? ]]</f>
        <v>37</v>
      </c>
      <c r="AH101">
        <f>2026-Table13[[#This Row],[Please indicate the year you graduated from the Faculty of Medicine]]</f>
        <v>13</v>
      </c>
      <c r="AI101">
        <f t="shared" si="17"/>
        <v>1</v>
      </c>
      <c r="AJ101">
        <f t="shared" si="18"/>
        <v>1</v>
      </c>
      <c r="AK101">
        <f t="shared" si="19"/>
        <v>0</v>
      </c>
      <c r="AL101">
        <f t="shared" si="20"/>
        <v>0</v>
      </c>
      <c r="AM101">
        <f t="shared" si="21"/>
        <v>1</v>
      </c>
      <c r="AN101">
        <f t="shared" si="22"/>
        <v>0</v>
      </c>
      <c r="AO101">
        <f t="shared" si="23"/>
        <v>1</v>
      </c>
      <c r="AP101">
        <f t="shared" si="24"/>
        <v>1</v>
      </c>
      <c r="AQ101">
        <f t="shared" si="25"/>
        <v>1</v>
      </c>
      <c r="AR101">
        <f t="shared" si="26"/>
        <v>0</v>
      </c>
      <c r="AS101">
        <f t="shared" si="27"/>
        <v>0</v>
      </c>
      <c r="AT101">
        <f t="shared" si="28"/>
        <v>0</v>
      </c>
      <c r="AU101">
        <f t="shared" si="29"/>
        <v>1</v>
      </c>
      <c r="AV101">
        <f t="shared" si="30"/>
        <v>0</v>
      </c>
      <c r="AW101">
        <f t="shared" si="31"/>
        <v>1</v>
      </c>
      <c r="AX101">
        <f t="shared" si="32"/>
        <v>8</v>
      </c>
      <c r="AY101">
        <f>IF(Table13[[#This Row],[Please choose your sex]]="Male",0,1)</f>
        <v>0</v>
      </c>
      <c r="AZ101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01">
        <f>IF(Table13[[#This Row],[Do you hold a subspecialty qualification (degree / certificate) in Reproductive Endocrinology and Infertility?
]]="No",0,1)</f>
        <v>1</v>
      </c>
      <c r="BB101">
        <f>IF(Table13[[#This Row],[Do you provide clinical care for the management of infertility?]]="No",0,1)</f>
        <v>1</v>
      </c>
      <c r="BC101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01">
        <f>IF(Table13[[#This Row],[Do you have access to evidence-based clinical guidelines at your workplace?]]="No",0,1)</f>
        <v>0</v>
      </c>
      <c r="BE101">
        <f>IF(OR(Table13[[#This Row],[What is your practice setting? (Select all that apply.)]]="University hospital ;",Table13[[#This Row],[What is your practice setting? (Select all that apply.)]]="Public hospital ;"),1,0)</f>
        <v>0</v>
      </c>
      <c r="BF101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02" spans="1:58" ht="16" x14ac:dyDescent="0.2">
      <c r="A102" s="4">
        <v>88</v>
      </c>
      <c r="B102" s="5">
        <v>46174.689918981479</v>
      </c>
      <c r="C102" s="5">
        <v>46174.715416666666</v>
      </c>
      <c r="D102" s="4" t="s">
        <v>29</v>
      </c>
      <c r="E102" s="6">
        <v>1975</v>
      </c>
      <c r="F102" s="4" t="s">
        <v>30</v>
      </c>
      <c r="G102" s="6">
        <v>2000</v>
      </c>
      <c r="H102" s="4" t="s">
        <v>45</v>
      </c>
      <c r="I102" s="4" t="s">
        <v>32</v>
      </c>
      <c r="J102" s="4" t="s">
        <v>33</v>
      </c>
      <c r="K102" s="4" t="s">
        <v>34</v>
      </c>
      <c r="L102" s="4" t="s">
        <v>72</v>
      </c>
      <c r="M102" s="4" t="s">
        <v>38</v>
      </c>
      <c r="N102" s="4" t="s">
        <v>38</v>
      </c>
      <c r="O102" s="4" t="s">
        <v>38</v>
      </c>
      <c r="P102" s="4" t="s">
        <v>37</v>
      </c>
      <c r="Q102" s="4" t="s">
        <v>36</v>
      </c>
      <c r="R102" s="4" t="s">
        <v>36</v>
      </c>
      <c r="S102" s="4" t="s">
        <v>36</v>
      </c>
      <c r="T102" s="4" t="s">
        <v>39</v>
      </c>
      <c r="U102" s="4" t="s">
        <v>39</v>
      </c>
      <c r="V102" s="4" t="s">
        <v>47</v>
      </c>
      <c r="W102" s="4" t="s">
        <v>37</v>
      </c>
      <c r="X102" s="4" t="s">
        <v>37</v>
      </c>
      <c r="Y102" s="4" t="s">
        <v>36</v>
      </c>
      <c r="Z102" s="4" t="s">
        <v>37</v>
      </c>
      <c r="AA102" s="4" t="s">
        <v>36</v>
      </c>
      <c r="AB102" s="4" t="s">
        <v>33</v>
      </c>
      <c r="AC102" s="4" t="s">
        <v>94</v>
      </c>
      <c r="AF102" s="7">
        <f>Table13[[#This Row],[Completion time]]-Table13[[#This Row],[Start time]]</f>
        <v>2.5497685186564922E-2</v>
      </c>
      <c r="AG102" s="8">
        <f>2026-Table13[[#This Row],[What is your year of birth? ]]</f>
        <v>51</v>
      </c>
      <c r="AH102">
        <f>2026-Table13[[#This Row],[Please indicate the year you graduated from the Faculty of Medicine]]</f>
        <v>26</v>
      </c>
      <c r="AI102">
        <f t="shared" si="17"/>
        <v>1</v>
      </c>
      <c r="AJ102">
        <f t="shared" si="18"/>
        <v>1</v>
      </c>
      <c r="AK102">
        <f t="shared" si="19"/>
        <v>1</v>
      </c>
      <c r="AL102">
        <f t="shared" si="20"/>
        <v>0</v>
      </c>
      <c r="AM102">
        <f t="shared" si="21"/>
        <v>0</v>
      </c>
      <c r="AN102">
        <f t="shared" si="22"/>
        <v>0</v>
      </c>
      <c r="AO102">
        <f t="shared" si="23"/>
        <v>0</v>
      </c>
      <c r="AP102">
        <f t="shared" si="24"/>
        <v>0</v>
      </c>
      <c r="AQ102">
        <f t="shared" si="25"/>
        <v>1</v>
      </c>
      <c r="AR102">
        <f t="shared" si="26"/>
        <v>1</v>
      </c>
      <c r="AS102">
        <f t="shared" si="27"/>
        <v>0</v>
      </c>
      <c r="AT102">
        <f t="shared" si="28"/>
        <v>0</v>
      </c>
      <c r="AU102">
        <f t="shared" si="29"/>
        <v>0</v>
      </c>
      <c r="AV102">
        <f t="shared" si="30"/>
        <v>0</v>
      </c>
      <c r="AW102">
        <f t="shared" si="31"/>
        <v>0</v>
      </c>
      <c r="AX102">
        <f t="shared" si="32"/>
        <v>5</v>
      </c>
      <c r="AY102">
        <f>IF(Table13[[#This Row],[Please choose your sex]]="Male",0,1)</f>
        <v>0</v>
      </c>
      <c r="AZ102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02">
        <f>IF(Table13[[#This Row],[Do you hold a subspecialty qualification (degree / certificate) in Reproductive Endocrinology and Infertility?
]]="No",0,1)</f>
        <v>0</v>
      </c>
      <c r="BB102">
        <f>IF(Table13[[#This Row],[Do you provide clinical care for the management of infertility?]]="No",0,1)</f>
        <v>1</v>
      </c>
      <c r="BC102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02">
        <f>IF(Table13[[#This Row],[Do you have access to evidence-based clinical guidelines at your workplace?]]="No",0,1)</f>
        <v>1</v>
      </c>
      <c r="BE102">
        <f>IF(OR(Table13[[#This Row],[What is your practice setting? (Select all that apply.)]]="University hospital ;",Table13[[#This Row],[What is your practice setting? (Select all that apply.)]]="Public hospital ;"),1,0)</f>
        <v>0</v>
      </c>
      <c r="BF102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103" spans="1:58" ht="16" x14ac:dyDescent="0.2">
      <c r="A103" s="4">
        <v>89</v>
      </c>
      <c r="B103" s="5">
        <v>46176.814236111109</v>
      </c>
      <c r="C103" s="5">
        <v>46176.815347222226</v>
      </c>
      <c r="D103" s="4" t="s">
        <v>29</v>
      </c>
      <c r="E103" s="6">
        <v>1994</v>
      </c>
      <c r="F103" s="4" t="s">
        <v>30</v>
      </c>
      <c r="G103" s="6">
        <v>2018</v>
      </c>
      <c r="H103" s="4" t="s">
        <v>50</v>
      </c>
      <c r="I103" s="4" t="s">
        <v>32</v>
      </c>
      <c r="J103" s="4" t="s">
        <v>33</v>
      </c>
      <c r="K103" s="4" t="s">
        <v>66</v>
      </c>
      <c r="L103" s="4" t="s">
        <v>74</v>
      </c>
      <c r="M103" s="4" t="s">
        <v>47</v>
      </c>
      <c r="N103" s="4" t="s">
        <v>38</v>
      </c>
      <c r="O103" s="4" t="s">
        <v>47</v>
      </c>
      <c r="P103" s="4" t="s">
        <v>37</v>
      </c>
      <c r="Q103" s="4" t="s">
        <v>39</v>
      </c>
      <c r="R103" s="4" t="s">
        <v>38</v>
      </c>
      <c r="S103" s="4" t="s">
        <v>38</v>
      </c>
      <c r="T103" s="4" t="s">
        <v>37</v>
      </c>
      <c r="U103" s="4" t="s">
        <v>37</v>
      </c>
      <c r="V103" s="4" t="s">
        <v>38</v>
      </c>
      <c r="W103" s="4" t="s">
        <v>36</v>
      </c>
      <c r="X103" s="4" t="s">
        <v>38</v>
      </c>
      <c r="Y103" s="4" t="s">
        <v>39</v>
      </c>
      <c r="Z103" s="4" t="s">
        <v>39</v>
      </c>
      <c r="AA103" s="4" t="s">
        <v>47</v>
      </c>
      <c r="AB103" s="4" t="s">
        <v>32</v>
      </c>
      <c r="AC103" s="4" t="s">
        <v>82</v>
      </c>
      <c r="AF103" s="7">
        <f>Table13[[#This Row],[Completion time]]-Table13[[#This Row],[Start time]]</f>
        <v>1.1111111161881126E-3</v>
      </c>
      <c r="AG103" s="8">
        <f>2026-Table13[[#This Row],[What is your year of birth? ]]</f>
        <v>32</v>
      </c>
      <c r="AH103">
        <f>2026-Table13[[#This Row],[Please indicate the year you graduated from the Faculty of Medicine]]</f>
        <v>8</v>
      </c>
      <c r="AI103">
        <f t="shared" si="17"/>
        <v>1</v>
      </c>
      <c r="AJ103">
        <f t="shared" si="18"/>
        <v>1</v>
      </c>
      <c r="AK103">
        <f t="shared" si="19"/>
        <v>1</v>
      </c>
      <c r="AL103">
        <f t="shared" si="20"/>
        <v>0</v>
      </c>
      <c r="AM103">
        <f t="shared" si="21"/>
        <v>1</v>
      </c>
      <c r="AN103">
        <f t="shared" si="22"/>
        <v>1</v>
      </c>
      <c r="AO103">
        <f t="shared" si="23"/>
        <v>1</v>
      </c>
      <c r="AP103">
        <f t="shared" si="24"/>
        <v>0</v>
      </c>
      <c r="AQ103">
        <f t="shared" si="25"/>
        <v>1</v>
      </c>
      <c r="AR103">
        <f t="shared" si="26"/>
        <v>1</v>
      </c>
      <c r="AS103">
        <f t="shared" si="27"/>
        <v>0</v>
      </c>
      <c r="AT103">
        <f t="shared" si="28"/>
        <v>1</v>
      </c>
      <c r="AU103">
        <f t="shared" si="29"/>
        <v>0</v>
      </c>
      <c r="AV103">
        <f t="shared" si="30"/>
        <v>0</v>
      </c>
      <c r="AW103">
        <f t="shared" si="31"/>
        <v>1</v>
      </c>
      <c r="AX103">
        <f t="shared" si="32"/>
        <v>10</v>
      </c>
      <c r="AY103">
        <f>IF(Table13[[#This Row],[Please choose your sex]]="Male",0,1)</f>
        <v>0</v>
      </c>
      <c r="AZ103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03">
        <f>IF(Table13[[#This Row],[Do you hold a subspecialty qualification (degree / certificate) in Reproductive Endocrinology and Infertility?
]]="No",0,1)</f>
        <v>0</v>
      </c>
      <c r="BB103">
        <f>IF(Table13[[#This Row],[Do you provide clinical care for the management of infertility?]]="No",0,1)</f>
        <v>1</v>
      </c>
      <c r="BC103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03">
        <f>IF(Table13[[#This Row],[Do you have access to evidence-based clinical guidelines at your workplace?]]="No",0,1)</f>
        <v>0</v>
      </c>
      <c r="BE103">
        <f>IF(OR(Table13[[#This Row],[What is your practice setting? (Select all that apply.)]]="University hospital ;",Table13[[#This Row],[What is your practice setting? (Select all that apply.)]]="Public hospital ;"),1,0)</f>
        <v>0</v>
      </c>
      <c r="BF103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04" spans="1:58" ht="16" x14ac:dyDescent="0.2">
      <c r="A104" s="4">
        <v>90</v>
      </c>
      <c r="B104" s="5">
        <v>46179.04010416667</v>
      </c>
      <c r="C104" s="5">
        <v>46179.042326388888</v>
      </c>
      <c r="D104" s="4" t="s">
        <v>29</v>
      </c>
      <c r="E104" s="6">
        <v>1981</v>
      </c>
      <c r="F104" s="4" t="s">
        <v>30</v>
      </c>
      <c r="G104" s="6">
        <v>2004</v>
      </c>
      <c r="H104" s="4" t="s">
        <v>45</v>
      </c>
      <c r="I104" s="4" t="s">
        <v>32</v>
      </c>
      <c r="J104" s="4" t="s">
        <v>33</v>
      </c>
      <c r="K104" s="4" t="s">
        <v>42</v>
      </c>
      <c r="L104" s="4" t="s">
        <v>56</v>
      </c>
      <c r="M104" s="4" t="s">
        <v>38</v>
      </c>
      <c r="N104" s="4" t="s">
        <v>37</v>
      </c>
      <c r="O104" s="4" t="s">
        <v>36</v>
      </c>
      <c r="P104" s="4" t="s">
        <v>37</v>
      </c>
      <c r="Q104" s="4" t="s">
        <v>39</v>
      </c>
      <c r="R104" s="4" t="s">
        <v>37</v>
      </c>
      <c r="S104" s="4" t="s">
        <v>38</v>
      </c>
      <c r="T104" s="4" t="s">
        <v>38</v>
      </c>
      <c r="U104" s="4" t="s">
        <v>37</v>
      </c>
      <c r="V104" s="4" t="s">
        <v>37</v>
      </c>
      <c r="W104" s="4" t="s">
        <v>36</v>
      </c>
      <c r="X104" s="4" t="s">
        <v>37</v>
      </c>
      <c r="Y104" s="4" t="s">
        <v>37</v>
      </c>
      <c r="Z104" s="4" t="s">
        <v>37</v>
      </c>
      <c r="AA104" s="4" t="s">
        <v>37</v>
      </c>
      <c r="AB104" s="4" t="s">
        <v>32</v>
      </c>
      <c r="AC104" s="4" t="s">
        <v>48</v>
      </c>
      <c r="AF104" s="7">
        <f>Table13[[#This Row],[Completion time]]-Table13[[#This Row],[Start time]]</f>
        <v>2.2222222178243101E-3</v>
      </c>
      <c r="AG104" s="8">
        <f>2026-Table13[[#This Row],[What is your year of birth? ]]</f>
        <v>45</v>
      </c>
      <c r="AH104">
        <f>2026-Table13[[#This Row],[Please indicate the year you graduated from the Faculty of Medicine]]</f>
        <v>22</v>
      </c>
      <c r="AI104">
        <f t="shared" si="17"/>
        <v>1</v>
      </c>
      <c r="AJ104">
        <f t="shared" si="18"/>
        <v>0</v>
      </c>
      <c r="AK104">
        <f t="shared" si="19"/>
        <v>0</v>
      </c>
      <c r="AL104">
        <f t="shared" si="20"/>
        <v>0</v>
      </c>
      <c r="AM104">
        <f t="shared" si="21"/>
        <v>1</v>
      </c>
      <c r="AN104">
        <f t="shared" si="22"/>
        <v>0</v>
      </c>
      <c r="AO104">
        <f t="shared" si="23"/>
        <v>1</v>
      </c>
      <c r="AP104">
        <f t="shared" si="24"/>
        <v>1</v>
      </c>
      <c r="AQ104">
        <f t="shared" si="25"/>
        <v>1</v>
      </c>
      <c r="AR104">
        <f t="shared" si="26"/>
        <v>0</v>
      </c>
      <c r="AS104">
        <f t="shared" si="27"/>
        <v>0</v>
      </c>
      <c r="AT104">
        <f t="shared" si="28"/>
        <v>0</v>
      </c>
      <c r="AU104">
        <f t="shared" si="29"/>
        <v>0</v>
      </c>
      <c r="AV104">
        <f t="shared" si="30"/>
        <v>0</v>
      </c>
      <c r="AW104">
        <f t="shared" si="31"/>
        <v>0</v>
      </c>
      <c r="AX104">
        <f t="shared" si="32"/>
        <v>5</v>
      </c>
      <c r="AY104">
        <f>IF(Table13[[#This Row],[Please choose your sex]]="Male",0,1)</f>
        <v>0</v>
      </c>
      <c r="AZ104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04">
        <f>IF(Table13[[#This Row],[Do you hold a subspecialty qualification (degree / certificate) in Reproductive Endocrinology and Infertility?
]]="No",0,1)</f>
        <v>0</v>
      </c>
      <c r="BB104">
        <f>IF(Table13[[#This Row],[Do you provide clinical care for the management of infertility?]]="No",0,1)</f>
        <v>1</v>
      </c>
      <c r="BC104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04">
        <f>IF(Table13[[#This Row],[Do you have access to evidence-based clinical guidelines at your workplace?]]="No",0,1)</f>
        <v>0</v>
      </c>
      <c r="BE104">
        <f>IF(OR(Table13[[#This Row],[What is your practice setting? (Select all that apply.)]]="University hospital ;",Table13[[#This Row],[What is your practice setting? (Select all that apply.)]]="Public hospital ;"),1,0)</f>
        <v>0</v>
      </c>
      <c r="BF104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05" spans="1:58" ht="16" x14ac:dyDescent="0.2">
      <c r="A105" s="4">
        <v>91</v>
      </c>
      <c r="B105" s="5">
        <v>46179.82335648148</v>
      </c>
      <c r="C105" s="5">
        <v>46179.828981481478</v>
      </c>
      <c r="D105" s="4" t="s">
        <v>29</v>
      </c>
      <c r="E105" s="6">
        <v>1993</v>
      </c>
      <c r="F105" s="4" t="s">
        <v>44</v>
      </c>
      <c r="G105" s="6">
        <v>2017</v>
      </c>
      <c r="H105" s="4" t="s">
        <v>50</v>
      </c>
      <c r="I105" s="4" t="s">
        <v>32</v>
      </c>
      <c r="J105" s="4" t="s">
        <v>33</v>
      </c>
      <c r="K105" s="4" t="s">
        <v>66</v>
      </c>
      <c r="L105" s="4" t="s">
        <v>95</v>
      </c>
      <c r="M105" s="4" t="s">
        <v>47</v>
      </c>
      <c r="N105" s="4" t="s">
        <v>47</v>
      </c>
      <c r="O105" s="4" t="s">
        <v>47</v>
      </c>
      <c r="P105" s="4" t="s">
        <v>39</v>
      </c>
      <c r="Q105" s="4" t="s">
        <v>39</v>
      </c>
      <c r="R105" s="4" t="s">
        <v>36</v>
      </c>
      <c r="S105" s="4" t="s">
        <v>38</v>
      </c>
      <c r="T105" s="4" t="s">
        <v>37</v>
      </c>
      <c r="U105" s="4" t="s">
        <v>39</v>
      </c>
      <c r="V105" s="4" t="s">
        <v>47</v>
      </c>
      <c r="W105" s="4" t="s">
        <v>36</v>
      </c>
      <c r="X105" s="4" t="s">
        <v>36</v>
      </c>
      <c r="Y105" s="4" t="s">
        <v>39</v>
      </c>
      <c r="Z105" s="4" t="s">
        <v>39</v>
      </c>
      <c r="AA105" s="4" t="s">
        <v>47</v>
      </c>
      <c r="AB105" s="4" t="s">
        <v>33</v>
      </c>
      <c r="AC105" s="4" t="s">
        <v>82</v>
      </c>
      <c r="AF105" s="7">
        <f>Table13[[#This Row],[Completion time]]-Table13[[#This Row],[Start time]]</f>
        <v>5.6249999979627319E-3</v>
      </c>
      <c r="AG105" s="8">
        <f>2026-Table13[[#This Row],[What is your year of birth? ]]</f>
        <v>33</v>
      </c>
      <c r="AH105">
        <f>2026-Table13[[#This Row],[Please indicate the year you graduated from the Faculty of Medicine]]</f>
        <v>9</v>
      </c>
      <c r="AI105">
        <f t="shared" si="17"/>
        <v>1</v>
      </c>
      <c r="AJ105">
        <f t="shared" si="18"/>
        <v>1</v>
      </c>
      <c r="AK105">
        <f t="shared" si="19"/>
        <v>1</v>
      </c>
      <c r="AL105">
        <f t="shared" si="20"/>
        <v>0</v>
      </c>
      <c r="AM105">
        <f t="shared" si="21"/>
        <v>1</v>
      </c>
      <c r="AN105">
        <f t="shared" si="22"/>
        <v>0</v>
      </c>
      <c r="AO105">
        <f t="shared" si="23"/>
        <v>1</v>
      </c>
      <c r="AP105">
        <f t="shared" si="24"/>
        <v>0</v>
      </c>
      <c r="AQ105">
        <f t="shared" si="25"/>
        <v>1</v>
      </c>
      <c r="AR105">
        <f t="shared" si="26"/>
        <v>1</v>
      </c>
      <c r="AS105">
        <f t="shared" si="27"/>
        <v>0</v>
      </c>
      <c r="AT105">
        <f t="shared" si="28"/>
        <v>0</v>
      </c>
      <c r="AU105">
        <f t="shared" si="29"/>
        <v>0</v>
      </c>
      <c r="AV105">
        <f t="shared" si="30"/>
        <v>0</v>
      </c>
      <c r="AW105">
        <f t="shared" si="31"/>
        <v>1</v>
      </c>
      <c r="AX105">
        <f t="shared" si="32"/>
        <v>8</v>
      </c>
      <c r="AY105">
        <f>IF(Table13[[#This Row],[Please choose your sex]]="Male",0,1)</f>
        <v>1</v>
      </c>
      <c r="AZ105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05">
        <f>IF(Table13[[#This Row],[Do you hold a subspecialty qualification (degree / certificate) in Reproductive Endocrinology and Infertility?
]]="No",0,1)</f>
        <v>0</v>
      </c>
      <c r="BB105">
        <f>IF(Table13[[#This Row],[Do you provide clinical care for the management of infertility?]]="No",0,1)</f>
        <v>1</v>
      </c>
      <c r="BC105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05">
        <f>IF(Table13[[#This Row],[Do you have access to evidence-based clinical guidelines at your workplace?]]="No",0,1)</f>
        <v>1</v>
      </c>
      <c r="BE105">
        <f>IF(OR(Table13[[#This Row],[What is your practice setting? (Select all that apply.)]]="University hospital ;",Table13[[#This Row],[What is your practice setting? (Select all that apply.)]]="Public hospital ;"),1,0)</f>
        <v>0</v>
      </c>
      <c r="BF105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06" spans="1:58" ht="16" x14ac:dyDescent="0.2">
      <c r="A106" s="4">
        <v>92</v>
      </c>
      <c r="B106" s="5">
        <v>46180.879155092596</v>
      </c>
      <c r="C106" s="5">
        <v>46180.880810185183</v>
      </c>
      <c r="D106" s="4" t="s">
        <v>29</v>
      </c>
      <c r="E106" s="6">
        <v>1996</v>
      </c>
      <c r="F106" s="4" t="s">
        <v>30</v>
      </c>
      <c r="G106" s="6">
        <v>2019</v>
      </c>
      <c r="H106" s="4" t="s">
        <v>50</v>
      </c>
      <c r="I106" s="4" t="s">
        <v>32</v>
      </c>
      <c r="J106" s="4" t="s">
        <v>33</v>
      </c>
      <c r="K106" s="4" t="s">
        <v>34</v>
      </c>
      <c r="L106" s="4" t="s">
        <v>95</v>
      </c>
      <c r="M106" s="4" t="s">
        <v>37</v>
      </c>
      <c r="N106" s="4" t="s">
        <v>37</v>
      </c>
      <c r="O106" s="4" t="s">
        <v>36</v>
      </c>
      <c r="P106" s="4" t="s">
        <v>37</v>
      </c>
      <c r="Q106" s="4" t="s">
        <v>37</v>
      </c>
      <c r="R106" s="4" t="s">
        <v>38</v>
      </c>
      <c r="S106" s="4" t="s">
        <v>37</v>
      </c>
      <c r="T106" s="4" t="s">
        <v>39</v>
      </c>
      <c r="U106" s="4" t="s">
        <v>36</v>
      </c>
      <c r="V106" s="4" t="s">
        <v>37</v>
      </c>
      <c r="W106" s="4" t="s">
        <v>36</v>
      </c>
      <c r="X106" s="4" t="s">
        <v>37</v>
      </c>
      <c r="Y106" s="4" t="s">
        <v>37</v>
      </c>
      <c r="Z106" s="4" t="s">
        <v>37</v>
      </c>
      <c r="AA106" s="4" t="s">
        <v>37</v>
      </c>
      <c r="AB106" s="4" t="s">
        <v>33</v>
      </c>
      <c r="AC106" s="4" t="s">
        <v>82</v>
      </c>
      <c r="AF106" s="7">
        <f>Table13[[#This Row],[Completion time]]-Table13[[#This Row],[Start time]]</f>
        <v>1.6550925865885802E-3</v>
      </c>
      <c r="AG106" s="8">
        <f>2026-Table13[[#This Row],[What is your year of birth? ]]</f>
        <v>30</v>
      </c>
      <c r="AH106">
        <f>2026-Table13[[#This Row],[Please indicate the year you graduated from the Faculty of Medicine]]</f>
        <v>7</v>
      </c>
      <c r="AI106">
        <f t="shared" si="17"/>
        <v>0</v>
      </c>
      <c r="AJ106">
        <f t="shared" si="18"/>
        <v>0</v>
      </c>
      <c r="AK106">
        <f t="shared" si="19"/>
        <v>0</v>
      </c>
      <c r="AL106">
        <f t="shared" si="20"/>
        <v>0</v>
      </c>
      <c r="AM106">
        <f t="shared" si="21"/>
        <v>1</v>
      </c>
      <c r="AN106">
        <f t="shared" si="22"/>
        <v>1</v>
      </c>
      <c r="AO106">
        <f t="shared" si="23"/>
        <v>0</v>
      </c>
      <c r="AP106">
        <f t="shared" si="24"/>
        <v>0</v>
      </c>
      <c r="AQ106">
        <f t="shared" si="25"/>
        <v>0</v>
      </c>
      <c r="AR106">
        <f t="shared" si="26"/>
        <v>0</v>
      </c>
      <c r="AS106">
        <f t="shared" si="27"/>
        <v>0</v>
      </c>
      <c r="AT106">
        <f t="shared" si="28"/>
        <v>0</v>
      </c>
      <c r="AU106">
        <f t="shared" si="29"/>
        <v>0</v>
      </c>
      <c r="AV106">
        <f t="shared" si="30"/>
        <v>0</v>
      </c>
      <c r="AW106">
        <f t="shared" si="31"/>
        <v>0</v>
      </c>
      <c r="AX106">
        <f t="shared" si="32"/>
        <v>2</v>
      </c>
      <c r="AY106">
        <f>IF(Table13[[#This Row],[Please choose your sex]]="Male",0,1)</f>
        <v>0</v>
      </c>
      <c r="AZ106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06">
        <f>IF(Table13[[#This Row],[Do you hold a subspecialty qualification (degree / certificate) in Reproductive Endocrinology and Infertility?
]]="No",0,1)</f>
        <v>0</v>
      </c>
      <c r="BB106">
        <f>IF(Table13[[#This Row],[Do you provide clinical care for the management of infertility?]]="No",0,1)</f>
        <v>1</v>
      </c>
      <c r="BC106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06">
        <f>IF(Table13[[#This Row],[Do you have access to evidence-based clinical guidelines at your workplace?]]="No",0,1)</f>
        <v>1</v>
      </c>
      <c r="BE106">
        <f>IF(OR(Table13[[#This Row],[What is your practice setting? (Select all that apply.)]]="University hospital ;",Table13[[#This Row],[What is your practice setting? (Select all that apply.)]]="Public hospital ;"),1,0)</f>
        <v>0</v>
      </c>
      <c r="BF106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07" spans="1:58" ht="16" x14ac:dyDescent="0.2">
      <c r="A107" s="4">
        <v>93</v>
      </c>
      <c r="B107" s="5">
        <v>46181.633483796293</v>
      </c>
      <c r="C107" s="5">
        <v>46181.634467592594</v>
      </c>
      <c r="D107" s="4" t="s">
        <v>29</v>
      </c>
      <c r="E107" s="6">
        <v>1991</v>
      </c>
      <c r="F107" s="4" t="s">
        <v>30</v>
      </c>
      <c r="G107" s="6">
        <v>2015</v>
      </c>
      <c r="H107" s="4" t="s">
        <v>50</v>
      </c>
      <c r="I107" s="4" t="s">
        <v>33</v>
      </c>
      <c r="J107" s="4" t="s">
        <v>33</v>
      </c>
      <c r="K107" s="4" t="s">
        <v>66</v>
      </c>
      <c r="L107" s="4" t="s">
        <v>83</v>
      </c>
      <c r="M107" s="4" t="s">
        <v>47</v>
      </c>
      <c r="N107" s="4" t="s">
        <v>47</v>
      </c>
      <c r="O107" s="4" t="s">
        <v>47</v>
      </c>
      <c r="P107" s="4" t="s">
        <v>39</v>
      </c>
      <c r="Q107" s="4" t="s">
        <v>39</v>
      </c>
      <c r="R107" s="4" t="s">
        <v>47</v>
      </c>
      <c r="S107" s="4" t="s">
        <v>38</v>
      </c>
      <c r="T107" s="4" t="s">
        <v>38</v>
      </c>
      <c r="U107" s="4" t="s">
        <v>39</v>
      </c>
      <c r="V107" s="4" t="s">
        <v>47</v>
      </c>
      <c r="W107" s="4" t="s">
        <v>47</v>
      </c>
      <c r="X107" s="4" t="s">
        <v>38</v>
      </c>
      <c r="Y107" s="4" t="s">
        <v>39</v>
      </c>
      <c r="Z107" s="4" t="s">
        <v>37</v>
      </c>
      <c r="AA107" s="4" t="s">
        <v>47</v>
      </c>
      <c r="AB107" s="4" t="s">
        <v>33</v>
      </c>
      <c r="AC107" s="4" t="s">
        <v>57</v>
      </c>
      <c r="AF107" s="7">
        <f>Table13[[#This Row],[Completion time]]-Table13[[#This Row],[Start time]]</f>
        <v>9.8379630071576685E-4</v>
      </c>
      <c r="AG107" s="8">
        <f>2026-Table13[[#This Row],[What is your year of birth? ]]</f>
        <v>35</v>
      </c>
      <c r="AH107">
        <f>2026-Table13[[#This Row],[Please indicate the year you graduated from the Faculty of Medicine]]</f>
        <v>11</v>
      </c>
      <c r="AI107">
        <f t="shared" si="17"/>
        <v>1</v>
      </c>
      <c r="AJ107">
        <f t="shared" si="18"/>
        <v>1</v>
      </c>
      <c r="AK107">
        <f t="shared" si="19"/>
        <v>1</v>
      </c>
      <c r="AL107">
        <f t="shared" si="20"/>
        <v>0</v>
      </c>
      <c r="AM107">
        <f t="shared" si="21"/>
        <v>1</v>
      </c>
      <c r="AN107">
        <f t="shared" si="22"/>
        <v>1</v>
      </c>
      <c r="AO107">
        <f t="shared" si="23"/>
        <v>1</v>
      </c>
      <c r="AP107">
        <f t="shared" si="24"/>
        <v>1</v>
      </c>
      <c r="AQ107">
        <f t="shared" si="25"/>
        <v>1</v>
      </c>
      <c r="AR107">
        <f t="shared" si="26"/>
        <v>1</v>
      </c>
      <c r="AS107">
        <f t="shared" si="27"/>
        <v>1</v>
      </c>
      <c r="AT107">
        <f t="shared" si="28"/>
        <v>1</v>
      </c>
      <c r="AU107">
        <f t="shared" si="29"/>
        <v>0</v>
      </c>
      <c r="AV107">
        <f t="shared" si="30"/>
        <v>0</v>
      </c>
      <c r="AW107">
        <f t="shared" si="31"/>
        <v>1</v>
      </c>
      <c r="AX107">
        <f t="shared" si="32"/>
        <v>12</v>
      </c>
      <c r="AY107">
        <f>IF(Table13[[#This Row],[Please choose your sex]]="Male",0,1)</f>
        <v>0</v>
      </c>
      <c r="AZ107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07">
        <f>IF(Table13[[#This Row],[Do you hold a subspecialty qualification (degree / certificate) in Reproductive Endocrinology and Infertility?
]]="No",0,1)</f>
        <v>1</v>
      </c>
      <c r="BB107">
        <f>IF(Table13[[#This Row],[Do you provide clinical care for the management of infertility?]]="No",0,1)</f>
        <v>1</v>
      </c>
      <c r="BC107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07">
        <f>IF(Table13[[#This Row],[Do you have access to evidence-based clinical guidelines at your workplace?]]="No",0,1)</f>
        <v>1</v>
      </c>
      <c r="BE107">
        <f>IF(OR(Table13[[#This Row],[What is your practice setting? (Select all that apply.)]]="University hospital ;",Table13[[#This Row],[What is your practice setting? (Select all that apply.)]]="Public hospital ;"),1,0)</f>
        <v>0</v>
      </c>
      <c r="BF107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08" spans="1:58" ht="16" x14ac:dyDescent="0.2">
      <c r="A108" s="4">
        <v>94</v>
      </c>
      <c r="B108" s="5">
        <v>46181.634513888886</v>
      </c>
      <c r="C108" s="5">
        <v>46181.638449074075</v>
      </c>
      <c r="D108" s="4" t="s">
        <v>29</v>
      </c>
      <c r="E108" s="6">
        <v>1990</v>
      </c>
      <c r="F108" s="4" t="s">
        <v>44</v>
      </c>
      <c r="G108" s="6">
        <v>2014</v>
      </c>
      <c r="H108" s="4" t="s">
        <v>58</v>
      </c>
      <c r="I108" s="4" t="s">
        <v>32</v>
      </c>
      <c r="J108" s="4" t="s">
        <v>33</v>
      </c>
      <c r="K108" s="4" t="s">
        <v>66</v>
      </c>
      <c r="L108" s="4" t="s">
        <v>46</v>
      </c>
      <c r="M108" s="4" t="s">
        <v>47</v>
      </c>
      <c r="N108" s="4" t="s">
        <v>36</v>
      </c>
      <c r="O108" s="4" t="s">
        <v>47</v>
      </c>
      <c r="P108" s="4" t="s">
        <v>39</v>
      </c>
      <c r="Q108" s="4" t="s">
        <v>39</v>
      </c>
      <c r="R108" s="4" t="s">
        <v>47</v>
      </c>
      <c r="S108" s="4" t="s">
        <v>38</v>
      </c>
      <c r="T108" s="4" t="s">
        <v>38</v>
      </c>
      <c r="U108" s="4" t="s">
        <v>39</v>
      </c>
      <c r="V108" s="4" t="s">
        <v>47</v>
      </c>
      <c r="W108" s="4" t="s">
        <v>36</v>
      </c>
      <c r="X108" s="4" t="s">
        <v>36</v>
      </c>
      <c r="Y108" s="4" t="s">
        <v>39</v>
      </c>
      <c r="Z108" s="4" t="s">
        <v>39</v>
      </c>
      <c r="AA108" s="4" t="s">
        <v>47</v>
      </c>
      <c r="AB108" s="4" t="s">
        <v>33</v>
      </c>
      <c r="AC108" s="4" t="s">
        <v>82</v>
      </c>
      <c r="AF108" s="7">
        <f>Table13[[#This Row],[Completion time]]-Table13[[#This Row],[Start time]]</f>
        <v>3.9351851883111522E-3</v>
      </c>
      <c r="AG108" s="8">
        <f>2026-Table13[[#This Row],[What is your year of birth? ]]</f>
        <v>36</v>
      </c>
      <c r="AH108">
        <f>2026-Table13[[#This Row],[Please indicate the year you graduated from the Faculty of Medicine]]</f>
        <v>12</v>
      </c>
      <c r="AI108">
        <f t="shared" si="17"/>
        <v>1</v>
      </c>
      <c r="AJ108">
        <f t="shared" si="18"/>
        <v>0</v>
      </c>
      <c r="AK108">
        <f t="shared" si="19"/>
        <v>1</v>
      </c>
      <c r="AL108">
        <f t="shared" si="20"/>
        <v>0</v>
      </c>
      <c r="AM108">
        <f t="shared" si="21"/>
        <v>1</v>
      </c>
      <c r="AN108">
        <f t="shared" si="22"/>
        <v>1</v>
      </c>
      <c r="AO108">
        <f t="shared" si="23"/>
        <v>1</v>
      </c>
      <c r="AP108">
        <f t="shared" si="24"/>
        <v>1</v>
      </c>
      <c r="AQ108">
        <f t="shared" si="25"/>
        <v>1</v>
      </c>
      <c r="AR108">
        <f t="shared" si="26"/>
        <v>1</v>
      </c>
      <c r="AS108">
        <f t="shared" si="27"/>
        <v>0</v>
      </c>
      <c r="AT108">
        <f t="shared" si="28"/>
        <v>0</v>
      </c>
      <c r="AU108">
        <f t="shared" si="29"/>
        <v>0</v>
      </c>
      <c r="AV108">
        <f t="shared" si="30"/>
        <v>0</v>
      </c>
      <c r="AW108">
        <f t="shared" si="31"/>
        <v>1</v>
      </c>
      <c r="AX108">
        <f t="shared" si="32"/>
        <v>9</v>
      </c>
      <c r="AY108">
        <f>IF(Table13[[#This Row],[Please choose your sex]]="Male",0,1)</f>
        <v>1</v>
      </c>
      <c r="AZ108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08">
        <f>IF(Table13[[#This Row],[Do you hold a subspecialty qualification (degree / certificate) in Reproductive Endocrinology and Infertility?
]]="No",0,1)</f>
        <v>0</v>
      </c>
      <c r="BB108">
        <f>IF(Table13[[#This Row],[Do you provide clinical care for the management of infertility?]]="No",0,1)</f>
        <v>1</v>
      </c>
      <c r="BC108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08">
        <f>IF(Table13[[#This Row],[Do you have access to evidence-based clinical guidelines at your workplace?]]="No",0,1)</f>
        <v>1</v>
      </c>
      <c r="BE108">
        <f>IF(OR(Table13[[#This Row],[What is your practice setting? (Select all that apply.)]]="University hospital ;",Table13[[#This Row],[What is your practice setting? (Select all that apply.)]]="Public hospital ;"),1,0)</f>
        <v>0</v>
      </c>
      <c r="BF108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09" spans="1:58" ht="16" x14ac:dyDescent="0.2">
      <c r="A109" s="4">
        <v>95</v>
      </c>
      <c r="B109" s="5">
        <v>46181.638483796298</v>
      </c>
      <c r="C109" s="5">
        <v>46181.639282407406</v>
      </c>
      <c r="D109" s="4" t="s">
        <v>29</v>
      </c>
      <c r="E109" s="6">
        <v>1994</v>
      </c>
      <c r="F109" s="4" t="s">
        <v>44</v>
      </c>
      <c r="G109" s="6">
        <v>2018</v>
      </c>
      <c r="H109" s="4" t="s">
        <v>50</v>
      </c>
      <c r="I109" s="4" t="s">
        <v>32</v>
      </c>
      <c r="J109" s="4" t="s">
        <v>33</v>
      </c>
      <c r="K109" s="4" t="s">
        <v>34</v>
      </c>
      <c r="L109" s="4" t="s">
        <v>74</v>
      </c>
      <c r="M109" s="4" t="s">
        <v>47</v>
      </c>
      <c r="N109" s="4" t="s">
        <v>36</v>
      </c>
      <c r="O109" s="4" t="s">
        <v>36</v>
      </c>
      <c r="P109" s="4" t="s">
        <v>39</v>
      </c>
      <c r="Q109" s="4" t="s">
        <v>39</v>
      </c>
      <c r="R109" s="4" t="s">
        <v>36</v>
      </c>
      <c r="S109" s="4" t="s">
        <v>38</v>
      </c>
      <c r="T109" s="4" t="s">
        <v>37</v>
      </c>
      <c r="U109" s="4" t="s">
        <v>39</v>
      </c>
      <c r="V109" s="4" t="s">
        <v>47</v>
      </c>
      <c r="W109" s="4" t="s">
        <v>36</v>
      </c>
      <c r="X109" s="4" t="s">
        <v>36</v>
      </c>
      <c r="Y109" s="4" t="s">
        <v>39</v>
      </c>
      <c r="Z109" s="4" t="s">
        <v>39</v>
      </c>
      <c r="AA109" s="4" t="s">
        <v>38</v>
      </c>
      <c r="AB109" s="4" t="s">
        <v>32</v>
      </c>
      <c r="AC109" s="4" t="s">
        <v>82</v>
      </c>
      <c r="AF109" s="7">
        <f>Table13[[#This Row],[Completion time]]-Table13[[#This Row],[Start time]]</f>
        <v>7.9861110862111673E-4</v>
      </c>
      <c r="AG109" s="8">
        <f>2026-Table13[[#This Row],[What is your year of birth? ]]</f>
        <v>32</v>
      </c>
      <c r="AH109">
        <f>2026-Table13[[#This Row],[Please indicate the year you graduated from the Faculty of Medicine]]</f>
        <v>8</v>
      </c>
      <c r="AI109">
        <f t="shared" si="17"/>
        <v>1</v>
      </c>
      <c r="AJ109">
        <f t="shared" si="18"/>
        <v>0</v>
      </c>
      <c r="AK109">
        <f t="shared" si="19"/>
        <v>0</v>
      </c>
      <c r="AL109">
        <f t="shared" si="20"/>
        <v>0</v>
      </c>
      <c r="AM109">
        <f t="shared" si="21"/>
        <v>1</v>
      </c>
      <c r="AN109">
        <f t="shared" si="22"/>
        <v>0</v>
      </c>
      <c r="AO109">
        <f t="shared" si="23"/>
        <v>1</v>
      </c>
      <c r="AP109">
        <f t="shared" si="24"/>
        <v>0</v>
      </c>
      <c r="AQ109">
        <f t="shared" si="25"/>
        <v>1</v>
      </c>
      <c r="AR109">
        <f t="shared" si="26"/>
        <v>1</v>
      </c>
      <c r="AS109">
        <f t="shared" si="27"/>
        <v>0</v>
      </c>
      <c r="AT109">
        <f t="shared" si="28"/>
        <v>0</v>
      </c>
      <c r="AU109">
        <f t="shared" si="29"/>
        <v>0</v>
      </c>
      <c r="AV109">
        <f t="shared" si="30"/>
        <v>0</v>
      </c>
      <c r="AW109">
        <f t="shared" si="31"/>
        <v>1</v>
      </c>
      <c r="AX109">
        <f t="shared" si="32"/>
        <v>6</v>
      </c>
      <c r="AY109">
        <f>IF(Table13[[#This Row],[Please choose your sex]]="Male",0,1)</f>
        <v>1</v>
      </c>
      <c r="AZ109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09">
        <f>IF(Table13[[#This Row],[Do you hold a subspecialty qualification (degree / certificate) in Reproductive Endocrinology and Infertility?
]]="No",0,1)</f>
        <v>0</v>
      </c>
      <c r="BB109">
        <f>IF(Table13[[#This Row],[Do you provide clinical care for the management of infertility?]]="No",0,1)</f>
        <v>1</v>
      </c>
      <c r="BC109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09">
        <f>IF(Table13[[#This Row],[Do you have access to evidence-based clinical guidelines at your workplace?]]="No",0,1)</f>
        <v>0</v>
      </c>
      <c r="BE109">
        <f>IF(OR(Table13[[#This Row],[What is your practice setting? (Select all that apply.)]]="University hospital ;",Table13[[#This Row],[What is your practice setting? (Select all that apply.)]]="Public hospital ;"),1,0)</f>
        <v>0</v>
      </c>
      <c r="BF109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10" spans="1:58" ht="16" x14ac:dyDescent="0.2">
      <c r="A110" s="4">
        <v>96</v>
      </c>
      <c r="B110" s="5">
        <v>46181.639328703706</v>
      </c>
      <c r="C110" s="5">
        <v>46181.640150462961</v>
      </c>
      <c r="D110" s="4" t="s">
        <v>29</v>
      </c>
      <c r="E110" s="6">
        <v>1993</v>
      </c>
      <c r="F110" s="4" t="s">
        <v>30</v>
      </c>
      <c r="G110" s="6">
        <v>2017</v>
      </c>
      <c r="H110" s="4" t="s">
        <v>96</v>
      </c>
      <c r="I110" s="4" t="s">
        <v>32</v>
      </c>
      <c r="J110" s="4" t="s">
        <v>33</v>
      </c>
      <c r="K110" s="4" t="s">
        <v>66</v>
      </c>
      <c r="L110" s="4" t="s">
        <v>84</v>
      </c>
      <c r="M110" s="4" t="s">
        <v>36</v>
      </c>
      <c r="N110" s="4" t="s">
        <v>36</v>
      </c>
      <c r="O110" s="4" t="s">
        <v>38</v>
      </c>
      <c r="P110" s="4" t="s">
        <v>37</v>
      </c>
      <c r="Q110" s="4" t="s">
        <v>39</v>
      </c>
      <c r="R110" s="4" t="s">
        <v>37</v>
      </c>
      <c r="S110" s="4" t="s">
        <v>38</v>
      </c>
      <c r="T110" s="4" t="s">
        <v>38</v>
      </c>
      <c r="U110" s="4" t="s">
        <v>39</v>
      </c>
      <c r="V110" s="4" t="s">
        <v>38</v>
      </c>
      <c r="W110" s="4" t="s">
        <v>37</v>
      </c>
      <c r="X110" s="4" t="s">
        <v>47</v>
      </c>
      <c r="Y110" s="4" t="s">
        <v>39</v>
      </c>
      <c r="Z110" s="4" t="s">
        <v>37</v>
      </c>
      <c r="AA110" s="4" t="s">
        <v>47</v>
      </c>
      <c r="AB110" s="4" t="s">
        <v>32</v>
      </c>
      <c r="AC110" s="4" t="s">
        <v>57</v>
      </c>
      <c r="AF110" s="7">
        <f>Table13[[#This Row],[Completion time]]-Table13[[#This Row],[Start time]]</f>
        <v>8.2175925490446389E-4</v>
      </c>
      <c r="AG110" s="8">
        <f>2026-Table13[[#This Row],[What is your year of birth? ]]</f>
        <v>33</v>
      </c>
      <c r="AH110">
        <f>2026-Table13[[#This Row],[Please indicate the year you graduated from the Faculty of Medicine]]</f>
        <v>9</v>
      </c>
      <c r="AI110">
        <f t="shared" si="17"/>
        <v>0</v>
      </c>
      <c r="AJ110">
        <f t="shared" si="18"/>
        <v>0</v>
      </c>
      <c r="AK110">
        <f t="shared" si="19"/>
        <v>1</v>
      </c>
      <c r="AL110">
        <f t="shared" si="20"/>
        <v>0</v>
      </c>
      <c r="AM110">
        <f t="shared" si="21"/>
        <v>1</v>
      </c>
      <c r="AN110">
        <f t="shared" si="22"/>
        <v>0</v>
      </c>
      <c r="AO110">
        <f t="shared" si="23"/>
        <v>1</v>
      </c>
      <c r="AP110">
        <f t="shared" si="24"/>
        <v>1</v>
      </c>
      <c r="AQ110">
        <f t="shared" si="25"/>
        <v>1</v>
      </c>
      <c r="AR110">
        <f t="shared" si="26"/>
        <v>1</v>
      </c>
      <c r="AS110">
        <f t="shared" si="27"/>
        <v>0</v>
      </c>
      <c r="AT110">
        <f t="shared" si="28"/>
        <v>1</v>
      </c>
      <c r="AU110">
        <f t="shared" si="29"/>
        <v>0</v>
      </c>
      <c r="AV110">
        <f t="shared" si="30"/>
        <v>0</v>
      </c>
      <c r="AW110">
        <f t="shared" si="31"/>
        <v>1</v>
      </c>
      <c r="AX110">
        <f t="shared" si="32"/>
        <v>8</v>
      </c>
      <c r="AY110">
        <f>IF(Table13[[#This Row],[Please choose your sex]]="Male",0,1)</f>
        <v>0</v>
      </c>
      <c r="AZ110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10">
        <f>IF(Table13[[#This Row],[Do you hold a subspecialty qualification (degree / certificate) in Reproductive Endocrinology and Infertility?
]]="No",0,1)</f>
        <v>0</v>
      </c>
      <c r="BB110">
        <f>IF(Table13[[#This Row],[Do you provide clinical care for the management of infertility?]]="No",0,1)</f>
        <v>1</v>
      </c>
      <c r="BC110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10">
        <f>IF(Table13[[#This Row],[Do you have access to evidence-based clinical guidelines at your workplace?]]="No",0,1)</f>
        <v>0</v>
      </c>
      <c r="BE110">
        <f>IF(OR(Table13[[#This Row],[What is your practice setting? (Select all that apply.)]]="University hospital ;",Table13[[#This Row],[What is your practice setting? (Select all that apply.)]]="Public hospital ;"),1,0)</f>
        <v>0</v>
      </c>
      <c r="BF110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11" spans="1:58" ht="16" x14ac:dyDescent="0.2">
      <c r="A111" s="4">
        <v>97</v>
      </c>
      <c r="B111" s="5">
        <v>46181.646828703706</v>
      </c>
      <c r="C111" s="5">
        <v>46181.648495370369</v>
      </c>
      <c r="D111" s="4" t="s">
        <v>29</v>
      </c>
      <c r="E111" s="6">
        <v>1996</v>
      </c>
      <c r="F111" s="4" t="s">
        <v>30</v>
      </c>
      <c r="G111" s="6">
        <v>2020</v>
      </c>
      <c r="H111" s="4" t="s">
        <v>50</v>
      </c>
      <c r="I111" s="4" t="s">
        <v>32</v>
      </c>
      <c r="J111" s="4" t="s">
        <v>33</v>
      </c>
      <c r="K111" s="4" t="s">
        <v>66</v>
      </c>
      <c r="L111" s="4" t="s">
        <v>43</v>
      </c>
      <c r="M111" s="4" t="s">
        <v>38</v>
      </c>
      <c r="N111" s="4" t="s">
        <v>37</v>
      </c>
      <c r="O111" s="4" t="s">
        <v>37</v>
      </c>
      <c r="P111" s="4" t="s">
        <v>36</v>
      </c>
      <c r="Q111" s="4" t="s">
        <v>37</v>
      </c>
      <c r="R111" s="4" t="s">
        <v>38</v>
      </c>
      <c r="S111" s="4" t="s">
        <v>38</v>
      </c>
      <c r="T111" s="4" t="s">
        <v>39</v>
      </c>
      <c r="U111" s="4" t="s">
        <v>37</v>
      </c>
      <c r="V111" s="4" t="s">
        <v>37</v>
      </c>
      <c r="W111" s="4" t="s">
        <v>36</v>
      </c>
      <c r="X111" s="4" t="s">
        <v>37</v>
      </c>
      <c r="Y111" s="4" t="s">
        <v>36</v>
      </c>
      <c r="Z111" s="4" t="s">
        <v>37</v>
      </c>
      <c r="AA111" s="4" t="s">
        <v>36</v>
      </c>
      <c r="AB111" s="4" t="s">
        <v>33</v>
      </c>
      <c r="AC111" s="4" t="s">
        <v>40</v>
      </c>
      <c r="AF111" s="7">
        <f>Table13[[#This Row],[Completion time]]-Table13[[#This Row],[Start time]]</f>
        <v>1.6666666633682325E-3</v>
      </c>
      <c r="AG111" s="8">
        <f>2026-Table13[[#This Row],[What is your year of birth? ]]</f>
        <v>30</v>
      </c>
      <c r="AH111">
        <f>2026-Table13[[#This Row],[Please indicate the year you graduated from the Faculty of Medicine]]</f>
        <v>6</v>
      </c>
      <c r="AI111">
        <f t="shared" si="17"/>
        <v>1</v>
      </c>
      <c r="AJ111">
        <f t="shared" si="18"/>
        <v>0</v>
      </c>
      <c r="AK111">
        <f t="shared" si="19"/>
        <v>0</v>
      </c>
      <c r="AL111">
        <f t="shared" si="20"/>
        <v>0</v>
      </c>
      <c r="AM111">
        <f t="shared" si="21"/>
        <v>1</v>
      </c>
      <c r="AN111">
        <f t="shared" si="22"/>
        <v>1</v>
      </c>
      <c r="AO111">
        <f t="shared" si="23"/>
        <v>1</v>
      </c>
      <c r="AP111">
        <f t="shared" si="24"/>
        <v>0</v>
      </c>
      <c r="AQ111">
        <f t="shared" si="25"/>
        <v>1</v>
      </c>
      <c r="AR111">
        <f t="shared" si="26"/>
        <v>0</v>
      </c>
      <c r="AS111">
        <f t="shared" si="27"/>
        <v>0</v>
      </c>
      <c r="AT111">
        <f t="shared" si="28"/>
        <v>0</v>
      </c>
      <c r="AU111">
        <f t="shared" si="29"/>
        <v>0</v>
      </c>
      <c r="AV111">
        <f t="shared" si="30"/>
        <v>0</v>
      </c>
      <c r="AW111">
        <f t="shared" si="31"/>
        <v>0</v>
      </c>
      <c r="AX111">
        <f t="shared" si="32"/>
        <v>5</v>
      </c>
      <c r="AY111">
        <f>IF(Table13[[#This Row],[Please choose your sex]]="Male",0,1)</f>
        <v>0</v>
      </c>
      <c r="AZ111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11">
        <f>IF(Table13[[#This Row],[Do you hold a subspecialty qualification (degree / certificate) in Reproductive Endocrinology and Infertility?
]]="No",0,1)</f>
        <v>0</v>
      </c>
      <c r="BB111">
        <f>IF(Table13[[#This Row],[Do you provide clinical care for the management of infertility?]]="No",0,1)</f>
        <v>1</v>
      </c>
      <c r="BC111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11">
        <f>IF(Table13[[#This Row],[Do you have access to evidence-based clinical guidelines at your workplace?]]="No",0,1)</f>
        <v>1</v>
      </c>
      <c r="BE111">
        <f>IF(OR(Table13[[#This Row],[What is your practice setting? (Select all that apply.)]]="University hospital ;",Table13[[#This Row],[What is your practice setting? (Select all that apply.)]]="Public hospital ;"),1,0)</f>
        <v>1</v>
      </c>
      <c r="BF111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12" spans="1:58" ht="16" x14ac:dyDescent="0.2">
      <c r="A112" s="4">
        <v>99</v>
      </c>
      <c r="B112" s="5">
        <v>46181.712546296294</v>
      </c>
      <c r="C112" s="5">
        <v>46181.713379629633</v>
      </c>
      <c r="D112" s="4" t="s">
        <v>29</v>
      </c>
      <c r="E112" s="6">
        <v>1994</v>
      </c>
      <c r="F112" s="4" t="s">
        <v>44</v>
      </c>
      <c r="G112" s="6">
        <v>2018</v>
      </c>
      <c r="H112" s="4" t="s">
        <v>31</v>
      </c>
      <c r="I112" s="4" t="s">
        <v>32</v>
      </c>
      <c r="J112" s="4" t="s">
        <v>33</v>
      </c>
      <c r="K112" s="4" t="s">
        <v>66</v>
      </c>
      <c r="L112" s="4" t="s">
        <v>46</v>
      </c>
      <c r="M112" s="4" t="s">
        <v>47</v>
      </c>
      <c r="N112" s="4" t="s">
        <v>47</v>
      </c>
      <c r="O112" s="4" t="s">
        <v>47</v>
      </c>
      <c r="P112" s="4" t="s">
        <v>39</v>
      </c>
      <c r="Q112" s="4" t="s">
        <v>39</v>
      </c>
      <c r="R112" s="4" t="s">
        <v>47</v>
      </c>
      <c r="S112" s="4" t="s">
        <v>47</v>
      </c>
      <c r="T112" s="4" t="s">
        <v>38</v>
      </c>
      <c r="U112" s="4" t="s">
        <v>39</v>
      </c>
      <c r="V112" s="4" t="s">
        <v>47</v>
      </c>
      <c r="W112" s="4" t="s">
        <v>47</v>
      </c>
      <c r="X112" s="4" t="s">
        <v>47</v>
      </c>
      <c r="Y112" s="4" t="s">
        <v>39</v>
      </c>
      <c r="Z112" s="4" t="s">
        <v>37</v>
      </c>
      <c r="AA112" s="4" t="s">
        <v>47</v>
      </c>
      <c r="AB112" s="4" t="s">
        <v>33</v>
      </c>
      <c r="AC112" s="4" t="s">
        <v>82</v>
      </c>
      <c r="AF112" s="7">
        <f>Table13[[#This Row],[Completion time]]-Table13[[#This Row],[Start time]]</f>
        <v>8.3333333896007389E-4</v>
      </c>
      <c r="AG112" s="8">
        <f>2026-Table13[[#This Row],[What is your year of birth? ]]</f>
        <v>32</v>
      </c>
      <c r="AH112">
        <f>2026-Table13[[#This Row],[Please indicate the year you graduated from the Faculty of Medicine]]</f>
        <v>8</v>
      </c>
      <c r="AI112">
        <f t="shared" si="17"/>
        <v>1</v>
      </c>
      <c r="AJ112">
        <f t="shared" si="18"/>
        <v>1</v>
      </c>
      <c r="AK112">
        <f t="shared" si="19"/>
        <v>1</v>
      </c>
      <c r="AL112">
        <f t="shared" si="20"/>
        <v>0</v>
      </c>
      <c r="AM112">
        <f t="shared" si="21"/>
        <v>1</v>
      </c>
      <c r="AN112">
        <f t="shared" si="22"/>
        <v>1</v>
      </c>
      <c r="AO112">
        <f t="shared" si="23"/>
        <v>1</v>
      </c>
      <c r="AP112">
        <f t="shared" si="24"/>
        <v>1</v>
      </c>
      <c r="AQ112">
        <f t="shared" si="25"/>
        <v>1</v>
      </c>
      <c r="AR112">
        <f t="shared" si="26"/>
        <v>1</v>
      </c>
      <c r="AS112">
        <f t="shared" si="27"/>
        <v>1</v>
      </c>
      <c r="AT112">
        <f t="shared" si="28"/>
        <v>1</v>
      </c>
      <c r="AU112">
        <f t="shared" si="29"/>
        <v>0</v>
      </c>
      <c r="AV112">
        <f t="shared" si="30"/>
        <v>0</v>
      </c>
      <c r="AW112">
        <f t="shared" si="31"/>
        <v>1</v>
      </c>
      <c r="AX112">
        <f t="shared" si="32"/>
        <v>12</v>
      </c>
      <c r="AY112">
        <f>IF(Table13[[#This Row],[Please choose your sex]]="Male",0,1)</f>
        <v>1</v>
      </c>
      <c r="AZ112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12">
        <f>IF(Table13[[#This Row],[Do you hold a subspecialty qualification (degree / certificate) in Reproductive Endocrinology and Infertility?
]]="No",0,1)</f>
        <v>0</v>
      </c>
      <c r="BB112">
        <f>IF(Table13[[#This Row],[Do you provide clinical care for the management of infertility?]]="No",0,1)</f>
        <v>1</v>
      </c>
      <c r="BC112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12">
        <f>IF(Table13[[#This Row],[Do you have access to evidence-based clinical guidelines at your workplace?]]="No",0,1)</f>
        <v>1</v>
      </c>
      <c r="BE112">
        <f>IF(OR(Table13[[#This Row],[What is your practice setting? (Select all that apply.)]]="University hospital ;",Table13[[#This Row],[What is your practice setting? (Select all that apply.)]]="Public hospital ;"),1,0)</f>
        <v>0</v>
      </c>
      <c r="BF112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13" spans="1:58" ht="16" x14ac:dyDescent="0.2">
      <c r="A113" s="4">
        <v>100</v>
      </c>
      <c r="B113" s="5">
        <v>46181.858460648145</v>
      </c>
      <c r="C113" s="5">
        <v>46181.861724537041</v>
      </c>
      <c r="D113" s="4" t="s">
        <v>29</v>
      </c>
      <c r="E113" s="6">
        <v>1980</v>
      </c>
      <c r="F113" s="4" t="s">
        <v>44</v>
      </c>
      <c r="G113" s="6">
        <v>2003</v>
      </c>
      <c r="H113" s="4" t="s">
        <v>45</v>
      </c>
      <c r="I113" s="4" t="s">
        <v>32</v>
      </c>
      <c r="J113" s="4" t="s">
        <v>33</v>
      </c>
      <c r="K113" s="4" t="s">
        <v>42</v>
      </c>
      <c r="L113" s="4" t="s">
        <v>35</v>
      </c>
      <c r="M113" s="4" t="s">
        <v>47</v>
      </c>
      <c r="N113" s="4" t="s">
        <v>36</v>
      </c>
      <c r="O113" s="4" t="s">
        <v>36</v>
      </c>
      <c r="P113" s="4" t="s">
        <v>37</v>
      </c>
      <c r="Q113" s="4" t="s">
        <v>37</v>
      </c>
      <c r="R113" s="4" t="s">
        <v>38</v>
      </c>
      <c r="S113" s="4" t="s">
        <v>38</v>
      </c>
      <c r="T113" s="4" t="s">
        <v>38</v>
      </c>
      <c r="U113" s="4" t="s">
        <v>36</v>
      </c>
      <c r="V113" s="4" t="s">
        <v>38</v>
      </c>
      <c r="W113" s="4" t="s">
        <v>36</v>
      </c>
      <c r="X113" s="4" t="s">
        <v>38</v>
      </c>
      <c r="Y113" s="4" t="s">
        <v>36</v>
      </c>
      <c r="Z113" s="4" t="s">
        <v>37</v>
      </c>
      <c r="AA113" s="4" t="s">
        <v>38</v>
      </c>
      <c r="AB113" s="4" t="s">
        <v>33</v>
      </c>
      <c r="AC113" s="4" t="s">
        <v>40</v>
      </c>
      <c r="AF113" s="7">
        <f>Table13[[#This Row],[Completion time]]-Table13[[#This Row],[Start time]]</f>
        <v>3.2638888951623812E-3</v>
      </c>
      <c r="AG113" s="8">
        <f>2026-Table13[[#This Row],[What is your year of birth? ]]</f>
        <v>46</v>
      </c>
      <c r="AH113">
        <f>2026-Table13[[#This Row],[Please indicate the year you graduated from the Faculty of Medicine]]</f>
        <v>23</v>
      </c>
      <c r="AI113">
        <f t="shared" si="17"/>
        <v>1</v>
      </c>
      <c r="AJ113">
        <f t="shared" si="18"/>
        <v>0</v>
      </c>
      <c r="AK113">
        <f t="shared" si="19"/>
        <v>0</v>
      </c>
      <c r="AL113">
        <f t="shared" si="20"/>
        <v>0</v>
      </c>
      <c r="AM113">
        <f t="shared" si="21"/>
        <v>1</v>
      </c>
      <c r="AN113">
        <f t="shared" si="22"/>
        <v>1</v>
      </c>
      <c r="AO113">
        <f t="shared" si="23"/>
        <v>1</v>
      </c>
      <c r="AP113">
        <f t="shared" si="24"/>
        <v>1</v>
      </c>
      <c r="AQ113">
        <f t="shared" si="25"/>
        <v>0</v>
      </c>
      <c r="AR113">
        <f t="shared" si="26"/>
        <v>1</v>
      </c>
      <c r="AS113">
        <f t="shared" si="27"/>
        <v>0</v>
      </c>
      <c r="AT113">
        <f t="shared" si="28"/>
        <v>1</v>
      </c>
      <c r="AU113">
        <f t="shared" si="29"/>
        <v>0</v>
      </c>
      <c r="AV113">
        <f t="shared" si="30"/>
        <v>0</v>
      </c>
      <c r="AW113">
        <f t="shared" si="31"/>
        <v>1</v>
      </c>
      <c r="AX113">
        <f t="shared" si="32"/>
        <v>8</v>
      </c>
      <c r="AY113">
        <f>IF(Table13[[#This Row],[Please choose your sex]]="Male",0,1)</f>
        <v>1</v>
      </c>
      <c r="AZ113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13">
        <f>IF(Table13[[#This Row],[Do you hold a subspecialty qualification (degree / certificate) in Reproductive Endocrinology and Infertility?
]]="No",0,1)</f>
        <v>0</v>
      </c>
      <c r="BB113">
        <f>IF(Table13[[#This Row],[Do you provide clinical care for the management of infertility?]]="No",0,1)</f>
        <v>1</v>
      </c>
      <c r="BC113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13">
        <f>IF(Table13[[#This Row],[Do you have access to evidence-based clinical guidelines at your workplace?]]="No",0,1)</f>
        <v>1</v>
      </c>
      <c r="BE113">
        <f>IF(OR(Table13[[#This Row],[What is your practice setting? (Select all that apply.)]]="University hospital ;",Table13[[#This Row],[What is your practice setting? (Select all that apply.)]]="Public hospital ;"),1,0)</f>
        <v>0</v>
      </c>
      <c r="BF113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14" spans="1:58" ht="16" x14ac:dyDescent="0.2">
      <c r="A114" s="4">
        <v>101</v>
      </c>
      <c r="B114" s="5">
        <v>46182.38</v>
      </c>
      <c r="C114" s="5">
        <v>46182.382800925923</v>
      </c>
      <c r="D114" s="4" t="s">
        <v>29</v>
      </c>
      <c r="E114" s="6">
        <v>1990</v>
      </c>
      <c r="F114" s="4" t="s">
        <v>30</v>
      </c>
      <c r="G114" s="6">
        <v>2013</v>
      </c>
      <c r="H114" s="4" t="s">
        <v>45</v>
      </c>
      <c r="I114" s="4" t="s">
        <v>32</v>
      </c>
      <c r="J114" s="4" t="s">
        <v>33</v>
      </c>
      <c r="K114" s="4" t="s">
        <v>66</v>
      </c>
      <c r="L114" s="4" t="s">
        <v>46</v>
      </c>
      <c r="M114" s="4" t="s">
        <v>47</v>
      </c>
      <c r="N114" s="4" t="s">
        <v>36</v>
      </c>
      <c r="O114" s="4" t="s">
        <v>36</v>
      </c>
      <c r="P114" s="4" t="s">
        <v>36</v>
      </c>
      <c r="Q114" s="4" t="s">
        <v>47</v>
      </c>
      <c r="R114" s="4" t="s">
        <v>36</v>
      </c>
      <c r="S114" s="4" t="s">
        <v>36</v>
      </c>
      <c r="T114" s="4" t="s">
        <v>36</v>
      </c>
      <c r="U114" s="4" t="s">
        <v>39</v>
      </c>
      <c r="V114" s="4" t="s">
        <v>36</v>
      </c>
      <c r="W114" s="4" t="s">
        <v>36</v>
      </c>
      <c r="X114" s="4" t="s">
        <v>36</v>
      </c>
      <c r="Y114" s="4" t="s">
        <v>36</v>
      </c>
      <c r="Z114" s="4" t="s">
        <v>36</v>
      </c>
      <c r="AA114" s="4" t="s">
        <v>36</v>
      </c>
      <c r="AB114" s="4" t="s">
        <v>32</v>
      </c>
      <c r="AC114" s="4" t="s">
        <v>40</v>
      </c>
      <c r="AF114" s="7">
        <f>Table13[[#This Row],[Completion time]]-Table13[[#This Row],[Start time]]</f>
        <v>2.8009259258396924E-3</v>
      </c>
      <c r="AG114" s="8">
        <f>2026-Table13[[#This Row],[What is your year of birth? ]]</f>
        <v>36</v>
      </c>
      <c r="AH114">
        <f>2026-Table13[[#This Row],[Please indicate the year you graduated from the Faculty of Medicine]]</f>
        <v>13</v>
      </c>
      <c r="AI114">
        <f t="shared" si="17"/>
        <v>1</v>
      </c>
      <c r="AJ114">
        <f t="shared" si="18"/>
        <v>0</v>
      </c>
      <c r="AK114">
        <f t="shared" si="19"/>
        <v>0</v>
      </c>
      <c r="AL114">
        <f t="shared" si="20"/>
        <v>0</v>
      </c>
      <c r="AM114">
        <f t="shared" si="21"/>
        <v>0</v>
      </c>
      <c r="AN114">
        <f t="shared" si="22"/>
        <v>0</v>
      </c>
      <c r="AO114">
        <f t="shared" si="23"/>
        <v>0</v>
      </c>
      <c r="AP114">
        <f t="shared" si="24"/>
        <v>0</v>
      </c>
      <c r="AQ114">
        <f t="shared" si="25"/>
        <v>1</v>
      </c>
      <c r="AR114">
        <f t="shared" si="26"/>
        <v>0</v>
      </c>
      <c r="AS114">
        <f t="shared" si="27"/>
        <v>0</v>
      </c>
      <c r="AT114">
        <f t="shared" si="28"/>
        <v>0</v>
      </c>
      <c r="AU114">
        <f t="shared" si="29"/>
        <v>0</v>
      </c>
      <c r="AV114">
        <f t="shared" si="30"/>
        <v>0</v>
      </c>
      <c r="AW114">
        <f t="shared" si="31"/>
        <v>0</v>
      </c>
      <c r="AX114">
        <f t="shared" si="32"/>
        <v>2</v>
      </c>
      <c r="AY114">
        <f>IF(Table13[[#This Row],[Please choose your sex]]="Male",0,1)</f>
        <v>0</v>
      </c>
      <c r="AZ114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14">
        <f>IF(Table13[[#This Row],[Do you hold a subspecialty qualification (degree / certificate) in Reproductive Endocrinology and Infertility?
]]="No",0,1)</f>
        <v>0</v>
      </c>
      <c r="BB114">
        <f>IF(Table13[[#This Row],[Do you provide clinical care for the management of infertility?]]="No",0,1)</f>
        <v>1</v>
      </c>
      <c r="BC114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14">
        <f>IF(Table13[[#This Row],[Do you have access to evidence-based clinical guidelines at your workplace?]]="No",0,1)</f>
        <v>0</v>
      </c>
      <c r="BE114">
        <f>IF(OR(Table13[[#This Row],[What is your practice setting? (Select all that apply.)]]="University hospital ;",Table13[[#This Row],[What is your practice setting? (Select all that apply.)]]="Public hospital ;"),1,0)</f>
        <v>0</v>
      </c>
      <c r="BF114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15" spans="1:58" ht="16" x14ac:dyDescent="0.2">
      <c r="A115" s="4">
        <v>102</v>
      </c>
      <c r="B115" s="5">
        <v>46182.394201388888</v>
      </c>
      <c r="C115" s="5">
        <v>46182.397962962961</v>
      </c>
      <c r="D115" s="4" t="s">
        <v>29</v>
      </c>
      <c r="E115" s="6">
        <v>1977</v>
      </c>
      <c r="F115" s="4" t="s">
        <v>30</v>
      </c>
      <c r="G115" s="6">
        <v>2000</v>
      </c>
      <c r="H115" s="4" t="s">
        <v>67</v>
      </c>
      <c r="I115" s="4" t="s">
        <v>33</v>
      </c>
      <c r="J115" s="4" t="s">
        <v>33</v>
      </c>
      <c r="K115" s="4" t="s">
        <v>42</v>
      </c>
      <c r="L115" s="4" t="s">
        <v>46</v>
      </c>
      <c r="M115" s="4" t="s">
        <v>47</v>
      </c>
      <c r="N115" s="4" t="s">
        <v>38</v>
      </c>
      <c r="O115" s="4" t="s">
        <v>38</v>
      </c>
      <c r="P115" s="4" t="s">
        <v>39</v>
      </c>
      <c r="Q115" s="4" t="s">
        <v>39</v>
      </c>
      <c r="R115" s="4" t="s">
        <v>47</v>
      </c>
      <c r="S115" s="4" t="s">
        <v>38</v>
      </c>
      <c r="T115" s="4" t="s">
        <v>38</v>
      </c>
      <c r="U115" s="4" t="s">
        <v>39</v>
      </c>
      <c r="V115" s="4" t="s">
        <v>47</v>
      </c>
      <c r="W115" s="4" t="s">
        <v>47</v>
      </c>
      <c r="X115" s="4" t="s">
        <v>47</v>
      </c>
      <c r="Y115" s="4" t="s">
        <v>47</v>
      </c>
      <c r="Z115" s="4" t="s">
        <v>37</v>
      </c>
      <c r="AA115" s="4" t="s">
        <v>38</v>
      </c>
      <c r="AB115" s="4" t="s">
        <v>32</v>
      </c>
      <c r="AC115" s="4" t="s">
        <v>60</v>
      </c>
      <c r="AF115" s="7">
        <f>Table13[[#This Row],[Completion time]]-Table13[[#This Row],[Start time]]</f>
        <v>3.7615740729961544E-3</v>
      </c>
      <c r="AG115" s="8">
        <f>2026-Table13[[#This Row],[What is your year of birth? ]]</f>
        <v>49</v>
      </c>
      <c r="AH115">
        <f>2026-Table13[[#This Row],[Please indicate the year you graduated from the Faculty of Medicine]]</f>
        <v>26</v>
      </c>
      <c r="AI115">
        <f t="shared" si="17"/>
        <v>1</v>
      </c>
      <c r="AJ115">
        <f t="shared" si="18"/>
        <v>1</v>
      </c>
      <c r="AK115">
        <f t="shared" si="19"/>
        <v>1</v>
      </c>
      <c r="AL115">
        <f t="shared" si="20"/>
        <v>0</v>
      </c>
      <c r="AM115">
        <f t="shared" si="21"/>
        <v>1</v>
      </c>
      <c r="AN115">
        <f t="shared" si="22"/>
        <v>1</v>
      </c>
      <c r="AO115">
        <f t="shared" si="23"/>
        <v>1</v>
      </c>
      <c r="AP115">
        <f t="shared" si="24"/>
        <v>1</v>
      </c>
      <c r="AQ115">
        <f t="shared" si="25"/>
        <v>1</v>
      </c>
      <c r="AR115">
        <f t="shared" si="26"/>
        <v>1</v>
      </c>
      <c r="AS115">
        <f t="shared" si="27"/>
        <v>1</v>
      </c>
      <c r="AT115">
        <f t="shared" si="28"/>
        <v>1</v>
      </c>
      <c r="AU115">
        <f t="shared" si="29"/>
        <v>1</v>
      </c>
      <c r="AV115">
        <f t="shared" si="30"/>
        <v>0</v>
      </c>
      <c r="AW115">
        <f t="shared" si="31"/>
        <v>1</v>
      </c>
      <c r="AX115">
        <f t="shared" si="32"/>
        <v>13</v>
      </c>
      <c r="AY115">
        <f>IF(Table13[[#This Row],[Please choose your sex]]="Male",0,1)</f>
        <v>0</v>
      </c>
      <c r="AZ115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15">
        <f>IF(Table13[[#This Row],[Do you hold a subspecialty qualification (degree / certificate) in Reproductive Endocrinology and Infertility?
]]="No",0,1)</f>
        <v>1</v>
      </c>
      <c r="BB115">
        <f>IF(Table13[[#This Row],[Do you provide clinical care for the management of infertility?]]="No",0,1)</f>
        <v>1</v>
      </c>
      <c r="BC115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15">
        <f>IF(Table13[[#This Row],[Do you have access to evidence-based clinical guidelines at your workplace?]]="No",0,1)</f>
        <v>0</v>
      </c>
      <c r="BE115">
        <f>IF(OR(Table13[[#This Row],[What is your practice setting? (Select all that apply.)]]="University hospital ;",Table13[[#This Row],[What is your practice setting? (Select all that apply.)]]="Public hospital ;"),1,0)</f>
        <v>0</v>
      </c>
      <c r="BF115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16" spans="1:58" ht="16" x14ac:dyDescent="0.2">
      <c r="A116" s="4">
        <v>103</v>
      </c>
      <c r="B116" s="5">
        <v>46182.39947916667</v>
      </c>
      <c r="C116" s="5">
        <v>46182.401134259257</v>
      </c>
      <c r="D116" s="4" t="s">
        <v>29</v>
      </c>
      <c r="E116" s="6">
        <v>1977</v>
      </c>
      <c r="F116" s="4" t="s">
        <v>44</v>
      </c>
      <c r="G116" s="6">
        <v>2000</v>
      </c>
      <c r="H116" s="4" t="s">
        <v>77</v>
      </c>
      <c r="I116" s="4" t="s">
        <v>32</v>
      </c>
      <c r="J116" s="4" t="s">
        <v>33</v>
      </c>
      <c r="K116" s="4" t="s">
        <v>42</v>
      </c>
      <c r="L116" s="4" t="s">
        <v>46</v>
      </c>
      <c r="M116" s="4" t="s">
        <v>47</v>
      </c>
      <c r="N116" s="4" t="s">
        <v>38</v>
      </c>
      <c r="O116" s="4" t="s">
        <v>38</v>
      </c>
      <c r="P116" s="4" t="s">
        <v>47</v>
      </c>
      <c r="Q116" s="4" t="s">
        <v>39</v>
      </c>
      <c r="R116" s="4" t="s">
        <v>47</v>
      </c>
      <c r="S116" s="4" t="s">
        <v>38</v>
      </c>
      <c r="T116" s="4" t="s">
        <v>38</v>
      </c>
      <c r="U116" s="4" t="s">
        <v>39</v>
      </c>
      <c r="V116" s="4" t="s">
        <v>47</v>
      </c>
      <c r="W116" s="4" t="s">
        <v>47</v>
      </c>
      <c r="X116" s="4" t="s">
        <v>47</v>
      </c>
      <c r="Y116" s="4" t="s">
        <v>39</v>
      </c>
      <c r="Z116" s="4" t="s">
        <v>37</v>
      </c>
      <c r="AA116" s="4" t="s">
        <v>38</v>
      </c>
      <c r="AB116" s="4" t="s">
        <v>32</v>
      </c>
      <c r="AC116" s="4" t="s">
        <v>59</v>
      </c>
      <c r="AF116" s="7">
        <f>Table13[[#This Row],[Completion time]]-Table13[[#This Row],[Start time]]</f>
        <v>1.6550925865885802E-3</v>
      </c>
      <c r="AG116" s="8">
        <f>2026-Table13[[#This Row],[What is your year of birth? ]]</f>
        <v>49</v>
      </c>
      <c r="AH116">
        <f>2026-Table13[[#This Row],[Please indicate the year you graduated from the Faculty of Medicine]]</f>
        <v>26</v>
      </c>
      <c r="AI116">
        <f t="shared" si="17"/>
        <v>1</v>
      </c>
      <c r="AJ116">
        <f t="shared" si="18"/>
        <v>1</v>
      </c>
      <c r="AK116">
        <f t="shared" si="19"/>
        <v>1</v>
      </c>
      <c r="AL116">
        <f t="shared" si="20"/>
        <v>1</v>
      </c>
      <c r="AM116">
        <f t="shared" si="21"/>
        <v>1</v>
      </c>
      <c r="AN116">
        <f t="shared" si="22"/>
        <v>1</v>
      </c>
      <c r="AO116">
        <f t="shared" si="23"/>
        <v>1</v>
      </c>
      <c r="AP116">
        <f t="shared" si="24"/>
        <v>1</v>
      </c>
      <c r="AQ116">
        <f t="shared" si="25"/>
        <v>1</v>
      </c>
      <c r="AR116">
        <f t="shared" si="26"/>
        <v>1</v>
      </c>
      <c r="AS116">
        <f t="shared" si="27"/>
        <v>1</v>
      </c>
      <c r="AT116">
        <f t="shared" si="28"/>
        <v>1</v>
      </c>
      <c r="AU116">
        <f t="shared" si="29"/>
        <v>0</v>
      </c>
      <c r="AV116">
        <f t="shared" si="30"/>
        <v>0</v>
      </c>
      <c r="AW116">
        <f t="shared" si="31"/>
        <v>1</v>
      </c>
      <c r="AX116">
        <f t="shared" si="32"/>
        <v>13</v>
      </c>
      <c r="AY116">
        <f>IF(Table13[[#This Row],[Please choose your sex]]="Male",0,1)</f>
        <v>1</v>
      </c>
      <c r="AZ116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16">
        <f>IF(Table13[[#This Row],[Do you hold a subspecialty qualification (degree / certificate) in Reproductive Endocrinology and Infertility?
]]="No",0,1)</f>
        <v>0</v>
      </c>
      <c r="BB116">
        <f>IF(Table13[[#This Row],[Do you provide clinical care for the management of infertility?]]="No",0,1)</f>
        <v>1</v>
      </c>
      <c r="BC116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16">
        <f>IF(Table13[[#This Row],[Do you have access to evidence-based clinical guidelines at your workplace?]]="No",0,1)</f>
        <v>0</v>
      </c>
      <c r="BE116">
        <f>IF(OR(Table13[[#This Row],[What is your practice setting? (Select all that apply.)]]="University hospital ;",Table13[[#This Row],[What is your practice setting? (Select all that apply.)]]="Public hospital ;"),1,0)</f>
        <v>0</v>
      </c>
      <c r="BF116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17" spans="1:58" ht="16" x14ac:dyDescent="0.2">
      <c r="A117" s="4">
        <v>104</v>
      </c>
      <c r="B117" s="5">
        <v>46182.942893518521</v>
      </c>
      <c r="C117" s="5">
        <v>46182.945231481484</v>
      </c>
      <c r="D117" s="4" t="s">
        <v>29</v>
      </c>
      <c r="E117" s="6">
        <v>1989</v>
      </c>
      <c r="F117" s="4" t="s">
        <v>30</v>
      </c>
      <c r="G117" s="6">
        <v>2012</v>
      </c>
      <c r="H117" s="4" t="s">
        <v>45</v>
      </c>
      <c r="I117" s="4" t="s">
        <v>32</v>
      </c>
      <c r="J117" s="4" t="s">
        <v>33</v>
      </c>
      <c r="K117" s="4" t="s">
        <v>34</v>
      </c>
      <c r="L117" s="4" t="s">
        <v>64</v>
      </c>
      <c r="M117" s="4" t="s">
        <v>47</v>
      </c>
      <c r="N117" s="4" t="s">
        <v>47</v>
      </c>
      <c r="O117" s="4" t="s">
        <v>36</v>
      </c>
      <c r="P117" s="4" t="s">
        <v>37</v>
      </c>
      <c r="Q117" s="4" t="s">
        <v>39</v>
      </c>
      <c r="R117" s="4" t="s">
        <v>38</v>
      </c>
      <c r="S117" s="4" t="s">
        <v>38</v>
      </c>
      <c r="T117" s="4" t="s">
        <v>38</v>
      </c>
      <c r="U117" s="4" t="s">
        <v>39</v>
      </c>
      <c r="V117" s="4" t="s">
        <v>38</v>
      </c>
      <c r="W117" s="4" t="s">
        <v>38</v>
      </c>
      <c r="X117" s="4" t="s">
        <v>36</v>
      </c>
      <c r="Y117" s="4" t="s">
        <v>38</v>
      </c>
      <c r="Z117" s="4" t="s">
        <v>37</v>
      </c>
      <c r="AA117" s="4" t="s">
        <v>38</v>
      </c>
      <c r="AB117" s="4" t="s">
        <v>32</v>
      </c>
      <c r="AC117" s="4" t="s">
        <v>93</v>
      </c>
      <c r="AF117" s="7">
        <f>Table13[[#This Row],[Completion time]]-Table13[[#This Row],[Start time]]</f>
        <v>2.3379629637929611E-3</v>
      </c>
      <c r="AG117" s="8">
        <f>2026-Table13[[#This Row],[What is your year of birth? ]]</f>
        <v>37</v>
      </c>
      <c r="AH117">
        <f>2026-Table13[[#This Row],[Please indicate the year you graduated from the Faculty of Medicine]]</f>
        <v>14</v>
      </c>
      <c r="AI117">
        <f t="shared" si="17"/>
        <v>1</v>
      </c>
      <c r="AJ117">
        <f t="shared" si="18"/>
        <v>1</v>
      </c>
      <c r="AK117">
        <f t="shared" si="19"/>
        <v>0</v>
      </c>
      <c r="AL117">
        <f t="shared" si="20"/>
        <v>0</v>
      </c>
      <c r="AM117">
        <f t="shared" si="21"/>
        <v>1</v>
      </c>
      <c r="AN117">
        <f t="shared" si="22"/>
        <v>1</v>
      </c>
      <c r="AO117">
        <f t="shared" si="23"/>
        <v>1</v>
      </c>
      <c r="AP117">
        <f t="shared" si="24"/>
        <v>1</v>
      </c>
      <c r="AQ117">
        <f t="shared" si="25"/>
        <v>1</v>
      </c>
      <c r="AR117">
        <f t="shared" si="26"/>
        <v>1</v>
      </c>
      <c r="AS117">
        <f t="shared" si="27"/>
        <v>1</v>
      </c>
      <c r="AT117">
        <f t="shared" si="28"/>
        <v>0</v>
      </c>
      <c r="AU117">
        <f t="shared" si="29"/>
        <v>1</v>
      </c>
      <c r="AV117">
        <f t="shared" si="30"/>
        <v>0</v>
      </c>
      <c r="AW117">
        <f t="shared" si="31"/>
        <v>1</v>
      </c>
      <c r="AX117">
        <f t="shared" si="32"/>
        <v>11</v>
      </c>
      <c r="AY117">
        <f>IF(Table13[[#This Row],[Please choose your sex]]="Male",0,1)</f>
        <v>0</v>
      </c>
      <c r="AZ117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17">
        <f>IF(Table13[[#This Row],[Do you hold a subspecialty qualification (degree / certificate) in Reproductive Endocrinology and Infertility?
]]="No",0,1)</f>
        <v>0</v>
      </c>
      <c r="BB117">
        <f>IF(Table13[[#This Row],[Do you provide clinical care for the management of infertility?]]="No",0,1)</f>
        <v>1</v>
      </c>
      <c r="BC117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17">
        <f>IF(Table13[[#This Row],[Do you have access to evidence-based clinical guidelines at your workplace?]]="No",0,1)</f>
        <v>0</v>
      </c>
      <c r="BE117">
        <f>IF(OR(Table13[[#This Row],[What is your practice setting? (Select all that apply.)]]="University hospital ;",Table13[[#This Row],[What is your practice setting? (Select all that apply.)]]="Public hospital ;"),1,0)</f>
        <v>0</v>
      </c>
      <c r="BF117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18" spans="1:58" ht="16" x14ac:dyDescent="0.2">
      <c r="A118" s="4">
        <v>106</v>
      </c>
      <c r="B118" s="5">
        <v>46182.954328703701</v>
      </c>
      <c r="C118" s="5">
        <v>46182.958692129629</v>
      </c>
      <c r="D118" s="4" t="s">
        <v>29</v>
      </c>
      <c r="E118" s="6">
        <v>1964</v>
      </c>
      <c r="F118" s="4" t="s">
        <v>30</v>
      </c>
      <c r="G118" s="6">
        <v>1987</v>
      </c>
      <c r="H118" s="4" t="s">
        <v>97</v>
      </c>
      <c r="I118" s="4" t="s">
        <v>33</v>
      </c>
      <c r="J118" s="4" t="s">
        <v>33</v>
      </c>
      <c r="K118" s="4" t="s">
        <v>42</v>
      </c>
      <c r="L118" s="4" t="s">
        <v>62</v>
      </c>
      <c r="M118" s="4" t="s">
        <v>38</v>
      </c>
      <c r="N118" s="4" t="s">
        <v>36</v>
      </c>
      <c r="O118" s="4" t="s">
        <v>47</v>
      </c>
      <c r="P118" s="4" t="s">
        <v>37</v>
      </c>
      <c r="Q118" s="4" t="s">
        <v>39</v>
      </c>
      <c r="R118" s="4" t="s">
        <v>38</v>
      </c>
      <c r="S118" s="4" t="s">
        <v>38</v>
      </c>
      <c r="T118" s="4" t="s">
        <v>38</v>
      </c>
      <c r="U118" s="4" t="s">
        <v>39</v>
      </c>
      <c r="V118" s="4" t="s">
        <v>47</v>
      </c>
      <c r="W118" s="4" t="s">
        <v>37</v>
      </c>
      <c r="X118" s="4" t="s">
        <v>47</v>
      </c>
      <c r="Y118" s="4" t="s">
        <v>38</v>
      </c>
      <c r="Z118" s="4" t="s">
        <v>39</v>
      </c>
      <c r="AA118" s="4" t="s">
        <v>38</v>
      </c>
      <c r="AB118" s="4" t="s">
        <v>33</v>
      </c>
      <c r="AC118" s="4" t="s">
        <v>59</v>
      </c>
      <c r="AF118" s="7">
        <f>Table13[[#This Row],[Completion time]]-Table13[[#This Row],[Start time]]</f>
        <v>4.3634259272948839E-3</v>
      </c>
      <c r="AG118" s="8">
        <f>2026-Table13[[#This Row],[What is your year of birth? ]]</f>
        <v>62</v>
      </c>
      <c r="AH118">
        <f>2026-Table13[[#This Row],[Please indicate the year you graduated from the Faculty of Medicine]]</f>
        <v>39</v>
      </c>
      <c r="AI118">
        <f t="shared" si="17"/>
        <v>1</v>
      </c>
      <c r="AJ118">
        <f t="shared" si="18"/>
        <v>0</v>
      </c>
      <c r="AK118">
        <f t="shared" si="19"/>
        <v>1</v>
      </c>
      <c r="AL118">
        <f t="shared" si="20"/>
        <v>0</v>
      </c>
      <c r="AM118">
        <f t="shared" si="21"/>
        <v>1</v>
      </c>
      <c r="AN118">
        <f t="shared" si="22"/>
        <v>1</v>
      </c>
      <c r="AO118">
        <f t="shared" si="23"/>
        <v>1</v>
      </c>
      <c r="AP118">
        <f t="shared" si="24"/>
        <v>1</v>
      </c>
      <c r="AQ118">
        <f t="shared" si="25"/>
        <v>1</v>
      </c>
      <c r="AR118">
        <f t="shared" si="26"/>
        <v>1</v>
      </c>
      <c r="AS118">
        <f t="shared" si="27"/>
        <v>0</v>
      </c>
      <c r="AT118">
        <f t="shared" si="28"/>
        <v>1</v>
      </c>
      <c r="AU118">
        <f t="shared" si="29"/>
        <v>1</v>
      </c>
      <c r="AV118">
        <f t="shared" si="30"/>
        <v>0</v>
      </c>
      <c r="AW118">
        <f t="shared" si="31"/>
        <v>1</v>
      </c>
      <c r="AX118">
        <f t="shared" si="32"/>
        <v>11</v>
      </c>
      <c r="AY118">
        <f>IF(Table13[[#This Row],[Please choose your sex]]="Male",0,1)</f>
        <v>0</v>
      </c>
      <c r="AZ118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18">
        <f>IF(Table13[[#This Row],[Do you hold a subspecialty qualification (degree / certificate) in Reproductive Endocrinology and Infertility?
]]="No",0,1)</f>
        <v>1</v>
      </c>
      <c r="BB118">
        <f>IF(Table13[[#This Row],[Do you provide clinical care for the management of infertility?]]="No",0,1)</f>
        <v>1</v>
      </c>
      <c r="BC118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18">
        <f>IF(Table13[[#This Row],[Do you have access to evidence-based clinical guidelines at your workplace?]]="No",0,1)</f>
        <v>1</v>
      </c>
      <c r="BE118">
        <f>IF(OR(Table13[[#This Row],[What is your practice setting? (Select all that apply.)]]="University hospital ;",Table13[[#This Row],[What is your practice setting? (Select all that apply.)]]="Public hospital ;"),1,0)</f>
        <v>0</v>
      </c>
      <c r="BF118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119" spans="1:58" ht="16" x14ac:dyDescent="0.2">
      <c r="A119" s="4">
        <v>107</v>
      </c>
      <c r="B119" s="5">
        <v>46182.978449074071</v>
      </c>
      <c r="C119" s="5">
        <v>46182.982407407406</v>
      </c>
      <c r="D119" s="4" t="s">
        <v>29</v>
      </c>
      <c r="E119" s="6">
        <v>1993</v>
      </c>
      <c r="F119" s="4" t="s">
        <v>30</v>
      </c>
      <c r="G119" s="6">
        <v>2015</v>
      </c>
      <c r="H119" s="4" t="s">
        <v>50</v>
      </c>
      <c r="I119" s="4" t="s">
        <v>32</v>
      </c>
      <c r="J119" s="4" t="s">
        <v>33</v>
      </c>
      <c r="K119" s="4" t="s">
        <v>66</v>
      </c>
      <c r="L119" s="4" t="s">
        <v>79</v>
      </c>
      <c r="M119" s="4" t="s">
        <v>47</v>
      </c>
      <c r="N119" s="4" t="s">
        <v>37</v>
      </c>
      <c r="O119" s="4" t="s">
        <v>37</v>
      </c>
      <c r="P119" s="4" t="s">
        <v>36</v>
      </c>
      <c r="Q119" s="4" t="s">
        <v>37</v>
      </c>
      <c r="R119" s="4" t="s">
        <v>38</v>
      </c>
      <c r="S119" s="4" t="s">
        <v>37</v>
      </c>
      <c r="T119" s="4" t="s">
        <v>38</v>
      </c>
      <c r="U119" s="4" t="s">
        <v>38</v>
      </c>
      <c r="V119" s="4" t="s">
        <v>36</v>
      </c>
      <c r="W119" s="4" t="s">
        <v>37</v>
      </c>
      <c r="X119" s="4" t="s">
        <v>37</v>
      </c>
      <c r="Y119" s="4" t="s">
        <v>37</v>
      </c>
      <c r="Z119" s="4" t="s">
        <v>37</v>
      </c>
      <c r="AA119" s="4" t="s">
        <v>36</v>
      </c>
      <c r="AB119" s="4" t="s">
        <v>33</v>
      </c>
      <c r="AC119" s="4" t="s">
        <v>59</v>
      </c>
      <c r="AF119" s="7">
        <f>Table13[[#This Row],[Completion time]]-Table13[[#This Row],[Start time]]</f>
        <v>3.9583333345944993E-3</v>
      </c>
      <c r="AG119" s="8">
        <f>2026-Table13[[#This Row],[What is your year of birth? ]]</f>
        <v>33</v>
      </c>
      <c r="AH119">
        <f>2026-Table13[[#This Row],[Please indicate the year you graduated from the Faculty of Medicine]]</f>
        <v>11</v>
      </c>
      <c r="AI119">
        <f t="shared" si="17"/>
        <v>1</v>
      </c>
      <c r="AJ119">
        <f t="shared" si="18"/>
        <v>0</v>
      </c>
      <c r="AK119">
        <f t="shared" si="19"/>
        <v>0</v>
      </c>
      <c r="AL119">
        <f t="shared" si="20"/>
        <v>0</v>
      </c>
      <c r="AM119">
        <f t="shared" si="21"/>
        <v>1</v>
      </c>
      <c r="AN119">
        <f t="shared" si="22"/>
        <v>1</v>
      </c>
      <c r="AO119">
        <f t="shared" si="23"/>
        <v>0</v>
      </c>
      <c r="AP119">
        <f t="shared" si="24"/>
        <v>1</v>
      </c>
      <c r="AQ119">
        <f t="shared" si="25"/>
        <v>0</v>
      </c>
      <c r="AR119">
        <f t="shared" si="26"/>
        <v>0</v>
      </c>
      <c r="AS119">
        <f t="shared" si="27"/>
        <v>0</v>
      </c>
      <c r="AT119">
        <f t="shared" si="28"/>
        <v>0</v>
      </c>
      <c r="AU119">
        <f t="shared" si="29"/>
        <v>0</v>
      </c>
      <c r="AV119">
        <f t="shared" si="30"/>
        <v>0</v>
      </c>
      <c r="AW119">
        <f t="shared" si="31"/>
        <v>0</v>
      </c>
      <c r="AX119">
        <f t="shared" si="32"/>
        <v>4</v>
      </c>
      <c r="AY119">
        <f>IF(Table13[[#This Row],[Please choose your sex]]="Male",0,1)</f>
        <v>0</v>
      </c>
      <c r="AZ119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19">
        <f>IF(Table13[[#This Row],[Do you hold a subspecialty qualification (degree / certificate) in Reproductive Endocrinology and Infertility?
]]="No",0,1)</f>
        <v>0</v>
      </c>
      <c r="BB119">
        <f>IF(Table13[[#This Row],[Do you provide clinical care for the management of infertility?]]="No",0,1)</f>
        <v>1</v>
      </c>
      <c r="BC119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19">
        <f>IF(Table13[[#This Row],[Do you have access to evidence-based clinical guidelines at your workplace?]]="No",0,1)</f>
        <v>1</v>
      </c>
      <c r="BE119">
        <f>IF(OR(Table13[[#This Row],[What is your practice setting? (Select all that apply.)]]="University hospital ;",Table13[[#This Row],[What is your practice setting? (Select all that apply.)]]="Public hospital ;"),1,0)</f>
        <v>0</v>
      </c>
      <c r="BF119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20" spans="1:58" ht="16" x14ac:dyDescent="0.2">
      <c r="A120" s="4">
        <v>108</v>
      </c>
      <c r="B120" s="5">
        <v>46183.013460648152</v>
      </c>
      <c r="C120" s="5">
        <v>46183.016111111108</v>
      </c>
      <c r="D120" s="4" t="s">
        <v>29</v>
      </c>
      <c r="E120" s="6">
        <v>1989</v>
      </c>
      <c r="F120" s="4" t="s">
        <v>30</v>
      </c>
      <c r="G120" s="6">
        <v>2012</v>
      </c>
      <c r="H120" s="4" t="s">
        <v>50</v>
      </c>
      <c r="I120" s="4" t="s">
        <v>32</v>
      </c>
      <c r="J120" s="4" t="s">
        <v>33</v>
      </c>
      <c r="K120" s="4" t="s">
        <v>66</v>
      </c>
      <c r="L120" s="4" t="s">
        <v>98</v>
      </c>
      <c r="M120" s="4" t="s">
        <v>38</v>
      </c>
      <c r="N120" s="4" t="s">
        <v>38</v>
      </c>
      <c r="O120" s="4" t="s">
        <v>36</v>
      </c>
      <c r="P120" s="4" t="s">
        <v>37</v>
      </c>
      <c r="Q120" s="4" t="s">
        <v>37</v>
      </c>
      <c r="R120" s="4" t="s">
        <v>38</v>
      </c>
      <c r="S120" s="4" t="s">
        <v>38</v>
      </c>
      <c r="T120" s="4" t="s">
        <v>38</v>
      </c>
      <c r="U120" s="4" t="s">
        <v>37</v>
      </c>
      <c r="V120" s="4" t="s">
        <v>38</v>
      </c>
      <c r="W120" s="4" t="s">
        <v>38</v>
      </c>
      <c r="X120" s="4" t="s">
        <v>38</v>
      </c>
      <c r="Y120" s="4" t="s">
        <v>37</v>
      </c>
      <c r="Z120" s="4" t="s">
        <v>37</v>
      </c>
      <c r="AA120" s="4" t="s">
        <v>38</v>
      </c>
      <c r="AB120" s="4" t="s">
        <v>33</v>
      </c>
      <c r="AC120" s="4" t="s">
        <v>40</v>
      </c>
      <c r="AF120" s="7">
        <f>Table13[[#This Row],[Completion time]]-Table13[[#This Row],[Start time]]</f>
        <v>2.6504629568080418E-3</v>
      </c>
      <c r="AG120" s="8">
        <f>2026-Table13[[#This Row],[What is your year of birth? ]]</f>
        <v>37</v>
      </c>
      <c r="AH120">
        <f>2026-Table13[[#This Row],[Please indicate the year you graduated from the Faculty of Medicine]]</f>
        <v>14</v>
      </c>
      <c r="AI120">
        <f t="shared" si="17"/>
        <v>1</v>
      </c>
      <c r="AJ120">
        <f t="shared" si="18"/>
        <v>1</v>
      </c>
      <c r="AK120">
        <f t="shared" si="19"/>
        <v>0</v>
      </c>
      <c r="AL120">
        <f t="shared" si="20"/>
        <v>0</v>
      </c>
      <c r="AM120">
        <f t="shared" si="21"/>
        <v>1</v>
      </c>
      <c r="AN120">
        <f t="shared" si="22"/>
        <v>1</v>
      </c>
      <c r="AO120">
        <f t="shared" si="23"/>
        <v>1</v>
      </c>
      <c r="AP120">
        <f t="shared" si="24"/>
        <v>1</v>
      </c>
      <c r="AQ120">
        <f t="shared" si="25"/>
        <v>1</v>
      </c>
      <c r="AR120">
        <f t="shared" si="26"/>
        <v>1</v>
      </c>
      <c r="AS120">
        <f t="shared" si="27"/>
        <v>1</v>
      </c>
      <c r="AT120">
        <f t="shared" si="28"/>
        <v>1</v>
      </c>
      <c r="AU120">
        <f t="shared" si="29"/>
        <v>0</v>
      </c>
      <c r="AV120">
        <f t="shared" si="30"/>
        <v>0</v>
      </c>
      <c r="AW120">
        <f t="shared" si="31"/>
        <v>1</v>
      </c>
      <c r="AX120">
        <f t="shared" si="32"/>
        <v>11</v>
      </c>
      <c r="AY120">
        <f>IF(Table13[[#This Row],[Please choose your sex]]="Male",0,1)</f>
        <v>0</v>
      </c>
      <c r="AZ120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20">
        <f>IF(Table13[[#This Row],[Do you hold a subspecialty qualification (degree / certificate) in Reproductive Endocrinology and Infertility?
]]="No",0,1)</f>
        <v>0</v>
      </c>
      <c r="BB120">
        <f>IF(Table13[[#This Row],[Do you provide clinical care for the management of infertility?]]="No",0,1)</f>
        <v>1</v>
      </c>
      <c r="BC120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20">
        <f>IF(Table13[[#This Row],[Do you have access to evidence-based clinical guidelines at your workplace?]]="No",0,1)</f>
        <v>1</v>
      </c>
      <c r="BE120">
        <f>IF(OR(Table13[[#This Row],[What is your practice setting? (Select all that apply.)]]="University hospital ;",Table13[[#This Row],[What is your practice setting? (Select all that apply.)]]="Public hospital ;"),1,0)</f>
        <v>0</v>
      </c>
      <c r="BF120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21" spans="1:58" ht="16" x14ac:dyDescent="0.2">
      <c r="A121" s="4">
        <v>109</v>
      </c>
      <c r="B121" s="5">
        <v>46183.065069444441</v>
      </c>
      <c r="C121" s="5">
        <v>46183.069664351853</v>
      </c>
      <c r="D121" s="4" t="s">
        <v>29</v>
      </c>
      <c r="E121" s="6">
        <v>1959</v>
      </c>
      <c r="F121" s="4" t="s">
        <v>30</v>
      </c>
      <c r="G121" s="6">
        <v>1983</v>
      </c>
      <c r="H121" s="4" t="s">
        <v>45</v>
      </c>
      <c r="I121" s="4" t="s">
        <v>32</v>
      </c>
      <c r="J121" s="4" t="s">
        <v>33</v>
      </c>
      <c r="K121" s="4" t="s">
        <v>42</v>
      </c>
      <c r="L121" s="4" t="s">
        <v>79</v>
      </c>
      <c r="M121" s="4" t="s">
        <v>37</v>
      </c>
      <c r="N121" s="4" t="s">
        <v>47</v>
      </c>
      <c r="O121" s="4" t="s">
        <v>37</v>
      </c>
      <c r="P121" s="4" t="s">
        <v>47</v>
      </c>
      <c r="Q121" s="4" t="s">
        <v>39</v>
      </c>
      <c r="R121" s="4" t="s">
        <v>36</v>
      </c>
      <c r="S121" s="4" t="s">
        <v>38</v>
      </c>
      <c r="T121" s="4" t="s">
        <v>47</v>
      </c>
      <c r="U121" s="4" t="s">
        <v>39</v>
      </c>
      <c r="V121" s="4" t="s">
        <v>37</v>
      </c>
      <c r="W121" s="4" t="s">
        <v>37</v>
      </c>
      <c r="X121" s="4" t="s">
        <v>37</v>
      </c>
      <c r="Y121" s="4" t="s">
        <v>39</v>
      </c>
      <c r="Z121" s="4" t="s">
        <v>37</v>
      </c>
      <c r="AA121" s="4" t="s">
        <v>37</v>
      </c>
      <c r="AB121" s="4" t="s">
        <v>33</v>
      </c>
      <c r="AC121" s="4" t="s">
        <v>78</v>
      </c>
      <c r="AF121" s="7">
        <f>Table13[[#This Row],[Completion time]]-Table13[[#This Row],[Start time]]</f>
        <v>4.5949074119562283E-3</v>
      </c>
      <c r="AG121" s="8">
        <f>2026-Table13[[#This Row],[What is your year of birth? ]]</f>
        <v>67</v>
      </c>
      <c r="AH121">
        <f>2026-Table13[[#This Row],[Please indicate the year you graduated from the Faculty of Medicine]]</f>
        <v>43</v>
      </c>
      <c r="AI121">
        <f t="shared" si="17"/>
        <v>0</v>
      </c>
      <c r="AJ121">
        <f t="shared" si="18"/>
        <v>1</v>
      </c>
      <c r="AK121">
        <f t="shared" si="19"/>
        <v>0</v>
      </c>
      <c r="AL121">
        <f t="shared" si="20"/>
        <v>1</v>
      </c>
      <c r="AM121">
        <f t="shared" si="21"/>
        <v>1</v>
      </c>
      <c r="AN121">
        <f t="shared" si="22"/>
        <v>0</v>
      </c>
      <c r="AO121">
        <f t="shared" si="23"/>
        <v>1</v>
      </c>
      <c r="AP121">
        <f t="shared" si="24"/>
        <v>1</v>
      </c>
      <c r="AQ121">
        <f t="shared" si="25"/>
        <v>1</v>
      </c>
      <c r="AR121">
        <f t="shared" si="26"/>
        <v>0</v>
      </c>
      <c r="AS121">
        <f t="shared" si="27"/>
        <v>0</v>
      </c>
      <c r="AT121">
        <f t="shared" si="28"/>
        <v>0</v>
      </c>
      <c r="AU121">
        <f t="shared" si="29"/>
        <v>0</v>
      </c>
      <c r="AV121">
        <f t="shared" si="30"/>
        <v>0</v>
      </c>
      <c r="AW121">
        <f t="shared" si="31"/>
        <v>0</v>
      </c>
      <c r="AX121">
        <f t="shared" si="32"/>
        <v>6</v>
      </c>
      <c r="AY121">
        <f>IF(Table13[[#This Row],[Please choose your sex]]="Male",0,1)</f>
        <v>0</v>
      </c>
      <c r="AZ121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21">
        <f>IF(Table13[[#This Row],[Do you hold a subspecialty qualification (degree / certificate) in Reproductive Endocrinology and Infertility?
]]="No",0,1)</f>
        <v>0</v>
      </c>
      <c r="BB121">
        <f>IF(Table13[[#This Row],[Do you provide clinical care for the management of infertility?]]="No",0,1)</f>
        <v>1</v>
      </c>
      <c r="BC121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21">
        <f>IF(Table13[[#This Row],[Do you have access to evidence-based clinical guidelines at your workplace?]]="No",0,1)</f>
        <v>1</v>
      </c>
      <c r="BE121">
        <f>IF(OR(Table13[[#This Row],[What is your practice setting? (Select all that apply.)]]="University hospital ;",Table13[[#This Row],[What is your practice setting? (Select all that apply.)]]="Public hospital ;"),1,0)</f>
        <v>0</v>
      </c>
      <c r="BF121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22" spans="1:58" ht="16" x14ac:dyDescent="0.2">
      <c r="A122" s="4">
        <v>110</v>
      </c>
      <c r="B122" s="5">
        <v>46186.540543981479</v>
      </c>
      <c r="C122" s="5">
        <v>46186.542731481481</v>
      </c>
      <c r="D122" s="4" t="s">
        <v>29</v>
      </c>
      <c r="E122" s="6">
        <v>1980</v>
      </c>
      <c r="F122" s="4" t="s">
        <v>30</v>
      </c>
      <c r="G122" s="6">
        <v>2004</v>
      </c>
      <c r="H122" s="4" t="s">
        <v>99</v>
      </c>
      <c r="I122" s="4" t="s">
        <v>33</v>
      </c>
      <c r="J122" s="4" t="s">
        <v>33</v>
      </c>
      <c r="K122" s="4" t="s">
        <v>66</v>
      </c>
      <c r="L122" s="4" t="s">
        <v>46</v>
      </c>
      <c r="M122" s="4" t="s">
        <v>47</v>
      </c>
      <c r="N122" s="4" t="s">
        <v>38</v>
      </c>
      <c r="O122" s="4" t="s">
        <v>47</v>
      </c>
      <c r="P122" s="4" t="s">
        <v>47</v>
      </c>
      <c r="Q122" s="4" t="s">
        <v>39</v>
      </c>
      <c r="R122" s="4" t="s">
        <v>47</v>
      </c>
      <c r="S122" s="4" t="s">
        <v>38</v>
      </c>
      <c r="T122" s="4" t="s">
        <v>38</v>
      </c>
      <c r="U122" s="4" t="s">
        <v>37</v>
      </c>
      <c r="V122" s="4" t="s">
        <v>47</v>
      </c>
      <c r="W122" s="4" t="s">
        <v>47</v>
      </c>
      <c r="X122" s="4" t="s">
        <v>47</v>
      </c>
      <c r="Y122" s="4" t="s">
        <v>36</v>
      </c>
      <c r="Z122" s="4" t="s">
        <v>37</v>
      </c>
      <c r="AA122" s="4" t="s">
        <v>36</v>
      </c>
      <c r="AB122" s="4" t="s">
        <v>32</v>
      </c>
      <c r="AC122" s="4" t="s">
        <v>100</v>
      </c>
      <c r="AF122" s="7">
        <f>Table13[[#This Row],[Completion time]]-Table13[[#This Row],[Start time]]</f>
        <v>2.1875000020372681E-3</v>
      </c>
      <c r="AG122" s="8">
        <f>2026-Table13[[#This Row],[What is your year of birth? ]]</f>
        <v>46</v>
      </c>
      <c r="AH122">
        <f>2026-Table13[[#This Row],[Please indicate the year you graduated from the Faculty of Medicine]]</f>
        <v>22</v>
      </c>
      <c r="AI122">
        <f t="shared" si="17"/>
        <v>1</v>
      </c>
      <c r="AJ122">
        <f t="shared" si="18"/>
        <v>1</v>
      </c>
      <c r="AK122">
        <f t="shared" si="19"/>
        <v>1</v>
      </c>
      <c r="AL122">
        <f t="shared" si="20"/>
        <v>1</v>
      </c>
      <c r="AM122">
        <f t="shared" si="21"/>
        <v>1</v>
      </c>
      <c r="AN122">
        <f t="shared" si="22"/>
        <v>1</v>
      </c>
      <c r="AO122">
        <f t="shared" si="23"/>
        <v>1</v>
      </c>
      <c r="AP122">
        <f t="shared" si="24"/>
        <v>1</v>
      </c>
      <c r="AQ122">
        <f t="shared" si="25"/>
        <v>1</v>
      </c>
      <c r="AR122">
        <f t="shared" si="26"/>
        <v>1</v>
      </c>
      <c r="AS122">
        <f t="shared" si="27"/>
        <v>1</v>
      </c>
      <c r="AT122">
        <f t="shared" si="28"/>
        <v>1</v>
      </c>
      <c r="AU122">
        <f t="shared" si="29"/>
        <v>0</v>
      </c>
      <c r="AV122">
        <f t="shared" si="30"/>
        <v>0</v>
      </c>
      <c r="AW122">
        <f t="shared" si="31"/>
        <v>0</v>
      </c>
      <c r="AX122">
        <f t="shared" si="32"/>
        <v>12</v>
      </c>
      <c r="AY122">
        <f>IF(Table13[[#This Row],[Please choose your sex]]="Male",0,1)</f>
        <v>0</v>
      </c>
      <c r="AZ122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22">
        <f>IF(Table13[[#This Row],[Do you hold a subspecialty qualification (degree / certificate) in Reproductive Endocrinology and Infertility?
]]="No",0,1)</f>
        <v>1</v>
      </c>
      <c r="BB122">
        <f>IF(Table13[[#This Row],[Do you provide clinical care for the management of infertility?]]="No",0,1)</f>
        <v>1</v>
      </c>
      <c r="BC122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22">
        <f>IF(Table13[[#This Row],[Do you have access to evidence-based clinical guidelines at your workplace?]]="No",0,1)</f>
        <v>0</v>
      </c>
      <c r="BE122">
        <f>IF(OR(Table13[[#This Row],[What is your practice setting? (Select all that apply.)]]="University hospital ;",Table13[[#This Row],[What is your practice setting? (Select all that apply.)]]="Public hospital ;"),1,0)</f>
        <v>0</v>
      </c>
      <c r="BF122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23" spans="1:58" ht="16" x14ac:dyDescent="0.2">
      <c r="A123" s="4">
        <v>112</v>
      </c>
      <c r="B123" s="5">
        <v>46187.875740740739</v>
      </c>
      <c r="C123" s="5">
        <v>46187.876863425925</v>
      </c>
      <c r="D123" s="4" t="s">
        <v>29</v>
      </c>
      <c r="E123" s="6">
        <v>1986</v>
      </c>
      <c r="F123" s="4" t="s">
        <v>30</v>
      </c>
      <c r="G123" s="6">
        <v>2010</v>
      </c>
      <c r="H123" s="4" t="s">
        <v>77</v>
      </c>
      <c r="I123" s="4" t="s">
        <v>33</v>
      </c>
      <c r="J123" s="4" t="s">
        <v>33</v>
      </c>
      <c r="K123" s="4" t="s">
        <v>42</v>
      </c>
      <c r="L123" s="4" t="s">
        <v>56</v>
      </c>
      <c r="M123" s="4" t="s">
        <v>47</v>
      </c>
      <c r="N123" s="4" t="s">
        <v>47</v>
      </c>
      <c r="O123" s="4" t="s">
        <v>47</v>
      </c>
      <c r="P123" s="4" t="s">
        <v>37</v>
      </c>
      <c r="Q123" s="4" t="s">
        <v>39</v>
      </c>
      <c r="R123" s="4" t="s">
        <v>47</v>
      </c>
      <c r="S123" s="4" t="s">
        <v>38</v>
      </c>
      <c r="T123" s="4" t="s">
        <v>47</v>
      </c>
      <c r="U123" s="4" t="s">
        <v>39</v>
      </c>
      <c r="V123" s="4" t="s">
        <v>47</v>
      </c>
      <c r="W123" s="4" t="s">
        <v>47</v>
      </c>
      <c r="X123" s="4" t="s">
        <v>47</v>
      </c>
      <c r="Y123" s="4" t="s">
        <v>39</v>
      </c>
      <c r="Z123" s="4" t="s">
        <v>37</v>
      </c>
      <c r="AA123" s="4" t="s">
        <v>47</v>
      </c>
      <c r="AB123" s="4" t="s">
        <v>33</v>
      </c>
      <c r="AC123" s="4" t="s">
        <v>82</v>
      </c>
      <c r="AF123" s="7">
        <f>Table13[[#This Row],[Completion time]]-Table13[[#This Row],[Start time]]</f>
        <v>1.1226851856918074E-3</v>
      </c>
      <c r="AG123" s="8">
        <f>2026-Table13[[#This Row],[What is your year of birth? ]]</f>
        <v>40</v>
      </c>
      <c r="AH123">
        <f>2026-Table13[[#This Row],[Please indicate the year you graduated from the Faculty of Medicine]]</f>
        <v>16</v>
      </c>
      <c r="AI123">
        <f t="shared" si="17"/>
        <v>1</v>
      </c>
      <c r="AJ123">
        <f t="shared" si="18"/>
        <v>1</v>
      </c>
      <c r="AK123">
        <f t="shared" si="19"/>
        <v>1</v>
      </c>
      <c r="AL123">
        <f t="shared" si="20"/>
        <v>0</v>
      </c>
      <c r="AM123">
        <f t="shared" si="21"/>
        <v>1</v>
      </c>
      <c r="AN123">
        <f t="shared" si="22"/>
        <v>1</v>
      </c>
      <c r="AO123">
        <f t="shared" si="23"/>
        <v>1</v>
      </c>
      <c r="AP123">
        <f t="shared" si="24"/>
        <v>1</v>
      </c>
      <c r="AQ123">
        <f t="shared" si="25"/>
        <v>1</v>
      </c>
      <c r="AR123">
        <f t="shared" si="26"/>
        <v>1</v>
      </c>
      <c r="AS123">
        <f t="shared" si="27"/>
        <v>1</v>
      </c>
      <c r="AT123">
        <f t="shared" si="28"/>
        <v>1</v>
      </c>
      <c r="AU123">
        <f t="shared" si="29"/>
        <v>0</v>
      </c>
      <c r="AV123">
        <f t="shared" si="30"/>
        <v>0</v>
      </c>
      <c r="AW123">
        <f t="shared" si="31"/>
        <v>1</v>
      </c>
      <c r="AX123">
        <f t="shared" si="32"/>
        <v>12</v>
      </c>
      <c r="AY123">
        <f>IF(Table13[[#This Row],[Please choose your sex]]="Male",0,1)</f>
        <v>0</v>
      </c>
      <c r="AZ123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23">
        <f>IF(Table13[[#This Row],[Do you hold a subspecialty qualification (degree / certificate) in Reproductive Endocrinology and Infertility?
]]="No",0,1)</f>
        <v>1</v>
      </c>
      <c r="BB123">
        <f>IF(Table13[[#This Row],[Do you provide clinical care for the management of infertility?]]="No",0,1)</f>
        <v>1</v>
      </c>
      <c r="BC123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23">
        <f>IF(Table13[[#This Row],[Do you have access to evidence-based clinical guidelines at your workplace?]]="No",0,1)</f>
        <v>1</v>
      </c>
      <c r="BE123">
        <f>IF(OR(Table13[[#This Row],[What is your practice setting? (Select all that apply.)]]="University hospital ;",Table13[[#This Row],[What is your practice setting? (Select all that apply.)]]="Public hospital ;"),1,0)</f>
        <v>0</v>
      </c>
      <c r="BF123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24" spans="1:58" ht="16" x14ac:dyDescent="0.2">
      <c r="A124" s="4">
        <v>113</v>
      </c>
      <c r="B124" s="5">
        <v>46188.562939814816</v>
      </c>
      <c r="C124" s="5">
        <v>46188.564143518517</v>
      </c>
      <c r="D124" s="4" t="s">
        <v>29</v>
      </c>
      <c r="E124" s="6">
        <v>1988</v>
      </c>
      <c r="F124" s="4" t="s">
        <v>44</v>
      </c>
      <c r="G124" s="6">
        <v>2012</v>
      </c>
      <c r="H124" s="4" t="s">
        <v>77</v>
      </c>
      <c r="I124" s="4" t="s">
        <v>32</v>
      </c>
      <c r="J124" s="4" t="s">
        <v>33</v>
      </c>
      <c r="K124" s="4" t="s">
        <v>42</v>
      </c>
      <c r="L124" s="4" t="s">
        <v>46</v>
      </c>
      <c r="M124" s="4" t="s">
        <v>47</v>
      </c>
      <c r="N124" s="4" t="s">
        <v>47</v>
      </c>
      <c r="O124" s="4" t="s">
        <v>36</v>
      </c>
      <c r="P124" s="4" t="s">
        <v>37</v>
      </c>
      <c r="Q124" s="4" t="s">
        <v>39</v>
      </c>
      <c r="R124" s="4" t="s">
        <v>47</v>
      </c>
      <c r="S124" s="4" t="s">
        <v>47</v>
      </c>
      <c r="T124" s="4" t="s">
        <v>38</v>
      </c>
      <c r="U124" s="4" t="s">
        <v>39</v>
      </c>
      <c r="V124" s="4" t="s">
        <v>47</v>
      </c>
      <c r="W124" s="4" t="s">
        <v>36</v>
      </c>
      <c r="X124" s="4" t="s">
        <v>36</v>
      </c>
      <c r="Y124" s="4" t="s">
        <v>39</v>
      </c>
      <c r="Z124" s="4" t="s">
        <v>39</v>
      </c>
      <c r="AA124" s="4" t="s">
        <v>47</v>
      </c>
      <c r="AB124" s="4" t="s">
        <v>33</v>
      </c>
      <c r="AC124" s="4" t="s">
        <v>82</v>
      </c>
      <c r="AF124" s="7">
        <f>Table13[[#This Row],[Completion time]]-Table13[[#This Row],[Start time]]</f>
        <v>1.2037037013215013E-3</v>
      </c>
      <c r="AG124" s="8">
        <f>2026-Table13[[#This Row],[What is your year of birth? ]]</f>
        <v>38</v>
      </c>
      <c r="AH124">
        <f>2026-Table13[[#This Row],[Please indicate the year you graduated from the Faculty of Medicine]]</f>
        <v>14</v>
      </c>
      <c r="AI124">
        <f t="shared" si="17"/>
        <v>1</v>
      </c>
      <c r="AJ124">
        <f t="shared" si="18"/>
        <v>1</v>
      </c>
      <c r="AK124">
        <f t="shared" si="19"/>
        <v>0</v>
      </c>
      <c r="AL124">
        <f t="shared" si="20"/>
        <v>0</v>
      </c>
      <c r="AM124">
        <f t="shared" si="21"/>
        <v>1</v>
      </c>
      <c r="AN124">
        <f t="shared" si="22"/>
        <v>1</v>
      </c>
      <c r="AO124">
        <f t="shared" si="23"/>
        <v>1</v>
      </c>
      <c r="AP124">
        <f t="shared" si="24"/>
        <v>1</v>
      </c>
      <c r="AQ124">
        <f t="shared" si="25"/>
        <v>1</v>
      </c>
      <c r="AR124">
        <f t="shared" si="26"/>
        <v>1</v>
      </c>
      <c r="AS124">
        <f t="shared" si="27"/>
        <v>0</v>
      </c>
      <c r="AT124">
        <f t="shared" si="28"/>
        <v>0</v>
      </c>
      <c r="AU124">
        <f t="shared" si="29"/>
        <v>0</v>
      </c>
      <c r="AV124">
        <f t="shared" si="30"/>
        <v>0</v>
      </c>
      <c r="AW124">
        <f t="shared" si="31"/>
        <v>1</v>
      </c>
      <c r="AX124">
        <f t="shared" si="32"/>
        <v>9</v>
      </c>
      <c r="AY124">
        <f>IF(Table13[[#This Row],[Please choose your sex]]="Male",0,1)</f>
        <v>1</v>
      </c>
      <c r="AZ124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24">
        <f>IF(Table13[[#This Row],[Do you hold a subspecialty qualification (degree / certificate) in Reproductive Endocrinology and Infertility?
]]="No",0,1)</f>
        <v>0</v>
      </c>
      <c r="BB124">
        <f>IF(Table13[[#This Row],[Do you provide clinical care for the management of infertility?]]="No",0,1)</f>
        <v>1</v>
      </c>
      <c r="BC124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24">
        <f>IF(Table13[[#This Row],[Do you have access to evidence-based clinical guidelines at your workplace?]]="No",0,1)</f>
        <v>1</v>
      </c>
      <c r="BE124">
        <f>IF(OR(Table13[[#This Row],[What is your practice setting? (Select all that apply.)]]="University hospital ;",Table13[[#This Row],[What is your practice setting? (Select all that apply.)]]="Public hospital ;"),1,0)</f>
        <v>0</v>
      </c>
      <c r="BF124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25" spans="1:58" ht="16" x14ac:dyDescent="0.2">
      <c r="A125" s="4">
        <v>114</v>
      </c>
      <c r="B125" s="5">
        <v>46188.564189814817</v>
      </c>
      <c r="C125" s="5">
        <v>46188.591145833336</v>
      </c>
      <c r="D125" s="4" t="s">
        <v>29</v>
      </c>
      <c r="E125" s="6">
        <v>1994</v>
      </c>
      <c r="F125" s="4" t="s">
        <v>44</v>
      </c>
      <c r="G125" s="6">
        <v>2018</v>
      </c>
      <c r="H125" s="4" t="s">
        <v>53</v>
      </c>
      <c r="I125" s="4" t="s">
        <v>32</v>
      </c>
      <c r="J125" s="4" t="s">
        <v>33</v>
      </c>
      <c r="K125" s="4" t="s">
        <v>66</v>
      </c>
      <c r="L125" s="4" t="s">
        <v>74</v>
      </c>
      <c r="M125" s="4" t="s">
        <v>47</v>
      </c>
      <c r="N125" s="4" t="s">
        <v>47</v>
      </c>
      <c r="O125" s="4" t="s">
        <v>47</v>
      </c>
      <c r="P125" s="4" t="s">
        <v>39</v>
      </c>
      <c r="Q125" s="4" t="s">
        <v>39</v>
      </c>
      <c r="R125" s="4" t="s">
        <v>47</v>
      </c>
      <c r="S125" s="4" t="s">
        <v>47</v>
      </c>
      <c r="T125" s="4" t="s">
        <v>36</v>
      </c>
      <c r="U125" s="4" t="s">
        <v>39</v>
      </c>
      <c r="V125" s="4" t="s">
        <v>47</v>
      </c>
      <c r="W125" s="4" t="s">
        <v>47</v>
      </c>
      <c r="X125" s="4" t="s">
        <v>47</v>
      </c>
      <c r="Y125" s="4" t="s">
        <v>37</v>
      </c>
      <c r="Z125" s="4" t="s">
        <v>37</v>
      </c>
      <c r="AA125" s="4" t="s">
        <v>38</v>
      </c>
      <c r="AB125" s="4" t="s">
        <v>32</v>
      </c>
      <c r="AC125" s="4" t="s">
        <v>82</v>
      </c>
      <c r="AF125" s="7">
        <f>Table13[[#This Row],[Completion time]]-Table13[[#This Row],[Start time]]</f>
        <v>2.6956018518831115E-2</v>
      </c>
      <c r="AG125" s="8">
        <f>2026-Table13[[#This Row],[What is your year of birth? ]]</f>
        <v>32</v>
      </c>
      <c r="AH125">
        <f>2026-Table13[[#This Row],[Please indicate the year you graduated from the Faculty of Medicine]]</f>
        <v>8</v>
      </c>
      <c r="AI125">
        <f t="shared" si="17"/>
        <v>1</v>
      </c>
      <c r="AJ125">
        <f t="shared" si="18"/>
        <v>1</v>
      </c>
      <c r="AK125">
        <f t="shared" si="19"/>
        <v>1</v>
      </c>
      <c r="AL125">
        <f t="shared" si="20"/>
        <v>0</v>
      </c>
      <c r="AM125">
        <f t="shared" si="21"/>
        <v>1</v>
      </c>
      <c r="AN125">
        <f t="shared" si="22"/>
        <v>1</v>
      </c>
      <c r="AO125">
        <f t="shared" si="23"/>
        <v>1</v>
      </c>
      <c r="AP125">
        <f t="shared" si="24"/>
        <v>0</v>
      </c>
      <c r="AQ125">
        <f t="shared" si="25"/>
        <v>1</v>
      </c>
      <c r="AR125">
        <f t="shared" si="26"/>
        <v>1</v>
      </c>
      <c r="AS125">
        <f t="shared" si="27"/>
        <v>1</v>
      </c>
      <c r="AT125">
        <f t="shared" si="28"/>
        <v>1</v>
      </c>
      <c r="AU125">
        <f t="shared" si="29"/>
        <v>0</v>
      </c>
      <c r="AV125">
        <f t="shared" si="30"/>
        <v>0</v>
      </c>
      <c r="AW125">
        <f t="shared" si="31"/>
        <v>1</v>
      </c>
      <c r="AX125">
        <f t="shared" si="32"/>
        <v>11</v>
      </c>
      <c r="AY125">
        <f>IF(Table13[[#This Row],[Please choose your sex]]="Male",0,1)</f>
        <v>1</v>
      </c>
      <c r="AZ125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25">
        <f>IF(Table13[[#This Row],[Do you hold a subspecialty qualification (degree / certificate) in Reproductive Endocrinology and Infertility?
]]="No",0,1)</f>
        <v>0</v>
      </c>
      <c r="BB125">
        <f>IF(Table13[[#This Row],[Do you provide clinical care for the management of infertility?]]="No",0,1)</f>
        <v>1</v>
      </c>
      <c r="BC125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25">
        <f>IF(Table13[[#This Row],[Do you have access to evidence-based clinical guidelines at your workplace?]]="No",0,1)</f>
        <v>0</v>
      </c>
      <c r="BE125">
        <f>IF(OR(Table13[[#This Row],[What is your practice setting? (Select all that apply.)]]="University hospital ;",Table13[[#This Row],[What is your practice setting? (Select all that apply.)]]="Public hospital ;"),1,0)</f>
        <v>0</v>
      </c>
      <c r="BF125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26" spans="1:58" ht="16" x14ac:dyDescent="0.2">
      <c r="A126" s="4">
        <v>115</v>
      </c>
      <c r="B126" s="5">
        <v>46191.752569444441</v>
      </c>
      <c r="C126" s="5">
        <v>46191.755787037036</v>
      </c>
      <c r="D126" s="4" t="s">
        <v>29</v>
      </c>
      <c r="E126" s="6">
        <v>1980</v>
      </c>
      <c r="F126" s="4" t="s">
        <v>30</v>
      </c>
      <c r="G126" s="6">
        <v>1994</v>
      </c>
      <c r="H126" s="4" t="s">
        <v>58</v>
      </c>
      <c r="I126" s="4" t="s">
        <v>33</v>
      </c>
      <c r="J126" s="4" t="s">
        <v>33</v>
      </c>
      <c r="K126" s="4" t="s">
        <v>42</v>
      </c>
      <c r="L126" s="4" t="s">
        <v>74</v>
      </c>
      <c r="M126" s="4" t="s">
        <v>47</v>
      </c>
      <c r="N126" s="4" t="s">
        <v>47</v>
      </c>
      <c r="O126" s="4" t="s">
        <v>36</v>
      </c>
      <c r="P126" s="4" t="s">
        <v>39</v>
      </c>
      <c r="Q126" s="4" t="s">
        <v>39</v>
      </c>
      <c r="R126" s="4" t="s">
        <v>36</v>
      </c>
      <c r="S126" s="4" t="s">
        <v>47</v>
      </c>
      <c r="T126" s="4" t="s">
        <v>37</v>
      </c>
      <c r="U126" s="4" t="s">
        <v>39</v>
      </c>
      <c r="V126" s="4" t="s">
        <v>47</v>
      </c>
      <c r="W126" s="4" t="s">
        <v>47</v>
      </c>
      <c r="X126" s="4" t="s">
        <v>47</v>
      </c>
      <c r="Y126" s="4" t="s">
        <v>39</v>
      </c>
      <c r="Z126" s="4" t="s">
        <v>39</v>
      </c>
      <c r="AA126" s="4" t="s">
        <v>38</v>
      </c>
      <c r="AB126" s="4" t="s">
        <v>32</v>
      </c>
      <c r="AC126" s="4" t="s">
        <v>82</v>
      </c>
      <c r="AF126" s="7">
        <f>Table13[[#This Row],[Completion time]]-Table13[[#This Row],[Start time]]</f>
        <v>3.2175925953197293E-3</v>
      </c>
      <c r="AG126" s="8">
        <f>2026-Table13[[#This Row],[What is your year of birth? ]]</f>
        <v>46</v>
      </c>
      <c r="AH126">
        <f>2026-Table13[[#This Row],[Please indicate the year you graduated from the Faculty of Medicine]]</f>
        <v>32</v>
      </c>
      <c r="AI126">
        <f t="shared" si="17"/>
        <v>1</v>
      </c>
      <c r="AJ126">
        <f t="shared" si="18"/>
        <v>1</v>
      </c>
      <c r="AK126">
        <f t="shared" si="19"/>
        <v>0</v>
      </c>
      <c r="AL126">
        <f t="shared" si="20"/>
        <v>0</v>
      </c>
      <c r="AM126">
        <f t="shared" si="21"/>
        <v>1</v>
      </c>
      <c r="AN126">
        <f t="shared" si="22"/>
        <v>0</v>
      </c>
      <c r="AO126">
        <f t="shared" si="23"/>
        <v>1</v>
      </c>
      <c r="AP126">
        <f t="shared" si="24"/>
        <v>0</v>
      </c>
      <c r="AQ126">
        <f t="shared" si="25"/>
        <v>1</v>
      </c>
      <c r="AR126">
        <f t="shared" si="26"/>
        <v>1</v>
      </c>
      <c r="AS126">
        <f t="shared" si="27"/>
        <v>1</v>
      </c>
      <c r="AT126">
        <f t="shared" si="28"/>
        <v>1</v>
      </c>
      <c r="AU126">
        <f t="shared" si="29"/>
        <v>0</v>
      </c>
      <c r="AV126">
        <f t="shared" si="30"/>
        <v>0</v>
      </c>
      <c r="AW126">
        <f t="shared" si="31"/>
        <v>1</v>
      </c>
      <c r="AX126">
        <f t="shared" si="32"/>
        <v>9</v>
      </c>
      <c r="AY126">
        <f>IF(Table13[[#This Row],[Please choose your sex]]="Male",0,1)</f>
        <v>0</v>
      </c>
      <c r="AZ126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26">
        <f>IF(Table13[[#This Row],[Do you hold a subspecialty qualification (degree / certificate) in Reproductive Endocrinology and Infertility?
]]="No",0,1)</f>
        <v>1</v>
      </c>
      <c r="BB126">
        <f>IF(Table13[[#This Row],[Do you provide clinical care for the management of infertility?]]="No",0,1)</f>
        <v>1</v>
      </c>
      <c r="BC126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26">
        <f>IF(Table13[[#This Row],[Do you have access to evidence-based clinical guidelines at your workplace?]]="No",0,1)</f>
        <v>0</v>
      </c>
      <c r="BE126">
        <f>IF(OR(Table13[[#This Row],[What is your practice setting? (Select all that apply.)]]="University hospital ;",Table13[[#This Row],[What is your practice setting? (Select all that apply.)]]="Public hospital ;"),1,0)</f>
        <v>0</v>
      </c>
      <c r="BF126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27" spans="1:58" ht="16" x14ac:dyDescent="0.2">
      <c r="A127" s="4">
        <v>116</v>
      </c>
      <c r="B127" s="5">
        <v>46195.899756944447</v>
      </c>
      <c r="C127" s="5">
        <v>46195.900763888887</v>
      </c>
      <c r="D127" s="4" t="s">
        <v>29</v>
      </c>
      <c r="E127" s="6">
        <v>1994</v>
      </c>
      <c r="F127" s="4" t="s">
        <v>30</v>
      </c>
      <c r="G127" s="6">
        <v>2018</v>
      </c>
      <c r="H127" s="4" t="s">
        <v>53</v>
      </c>
      <c r="I127" s="4" t="s">
        <v>32</v>
      </c>
      <c r="J127" s="4" t="s">
        <v>33</v>
      </c>
      <c r="K127" s="4" t="s">
        <v>66</v>
      </c>
      <c r="L127" s="4" t="s">
        <v>83</v>
      </c>
      <c r="M127" s="4" t="s">
        <v>38</v>
      </c>
      <c r="N127" s="4" t="s">
        <v>38</v>
      </c>
      <c r="O127" s="4" t="s">
        <v>47</v>
      </c>
      <c r="P127" s="4" t="s">
        <v>39</v>
      </c>
      <c r="Q127" s="4" t="s">
        <v>39</v>
      </c>
      <c r="R127" s="4" t="s">
        <v>47</v>
      </c>
      <c r="S127" s="4" t="s">
        <v>38</v>
      </c>
      <c r="T127" s="4" t="s">
        <v>37</v>
      </c>
      <c r="U127" s="4" t="s">
        <v>39</v>
      </c>
      <c r="V127" s="4" t="s">
        <v>47</v>
      </c>
      <c r="W127" s="4" t="s">
        <v>36</v>
      </c>
      <c r="X127" s="4" t="s">
        <v>47</v>
      </c>
      <c r="Y127" s="4" t="s">
        <v>39</v>
      </c>
      <c r="Z127" s="4" t="s">
        <v>37</v>
      </c>
      <c r="AA127" s="4" t="s">
        <v>38</v>
      </c>
      <c r="AB127" s="4" t="s">
        <v>32</v>
      </c>
      <c r="AC127" s="4" t="s">
        <v>40</v>
      </c>
      <c r="AF127" s="7">
        <f>Table13[[#This Row],[Completion time]]-Table13[[#This Row],[Start time]]</f>
        <v>1.0069444397231564E-3</v>
      </c>
      <c r="AG127" s="8">
        <f>2026-Table13[[#This Row],[What is your year of birth? ]]</f>
        <v>32</v>
      </c>
      <c r="AH127">
        <f>2026-Table13[[#This Row],[Please indicate the year you graduated from the Faculty of Medicine]]</f>
        <v>8</v>
      </c>
      <c r="AI127">
        <f t="shared" si="17"/>
        <v>1</v>
      </c>
      <c r="AJ127">
        <f t="shared" si="18"/>
        <v>1</v>
      </c>
      <c r="AK127">
        <f t="shared" si="19"/>
        <v>1</v>
      </c>
      <c r="AL127">
        <f t="shared" si="20"/>
        <v>0</v>
      </c>
      <c r="AM127">
        <f t="shared" si="21"/>
        <v>1</v>
      </c>
      <c r="AN127">
        <f t="shared" si="22"/>
        <v>1</v>
      </c>
      <c r="AO127">
        <f t="shared" si="23"/>
        <v>1</v>
      </c>
      <c r="AP127">
        <f t="shared" si="24"/>
        <v>0</v>
      </c>
      <c r="AQ127">
        <f t="shared" si="25"/>
        <v>1</v>
      </c>
      <c r="AR127">
        <f t="shared" si="26"/>
        <v>1</v>
      </c>
      <c r="AS127">
        <f t="shared" si="27"/>
        <v>0</v>
      </c>
      <c r="AT127">
        <f t="shared" si="28"/>
        <v>1</v>
      </c>
      <c r="AU127">
        <f t="shared" si="29"/>
        <v>0</v>
      </c>
      <c r="AV127">
        <f t="shared" si="30"/>
        <v>0</v>
      </c>
      <c r="AW127">
        <f t="shared" si="31"/>
        <v>1</v>
      </c>
      <c r="AX127">
        <f t="shared" si="32"/>
        <v>10</v>
      </c>
      <c r="AY127">
        <f>IF(Table13[[#This Row],[Please choose your sex]]="Male",0,1)</f>
        <v>0</v>
      </c>
      <c r="AZ127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27">
        <f>IF(Table13[[#This Row],[Do you hold a subspecialty qualification (degree / certificate) in Reproductive Endocrinology and Infertility?
]]="No",0,1)</f>
        <v>0</v>
      </c>
      <c r="BB127">
        <f>IF(Table13[[#This Row],[Do you provide clinical care for the management of infertility?]]="No",0,1)</f>
        <v>1</v>
      </c>
      <c r="BC127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27">
        <f>IF(Table13[[#This Row],[Do you have access to evidence-based clinical guidelines at your workplace?]]="No",0,1)</f>
        <v>0</v>
      </c>
      <c r="BE127">
        <f>IF(OR(Table13[[#This Row],[What is your practice setting? (Select all that apply.)]]="University hospital ;",Table13[[#This Row],[What is your practice setting? (Select all that apply.)]]="Public hospital ;"),1,0)</f>
        <v>0</v>
      </c>
      <c r="BF127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28" spans="1:58" ht="16" x14ac:dyDescent="0.2">
      <c r="A128" s="4">
        <v>118</v>
      </c>
      <c r="B128" s="5">
        <v>46198.727847222224</v>
      </c>
      <c r="C128" s="5">
        <v>46198.729212962964</v>
      </c>
      <c r="D128" s="4" t="s">
        <v>29</v>
      </c>
      <c r="E128" s="6">
        <v>1993</v>
      </c>
      <c r="F128" s="4" t="s">
        <v>44</v>
      </c>
      <c r="G128" s="6">
        <v>2017</v>
      </c>
      <c r="H128" s="4" t="s">
        <v>53</v>
      </c>
      <c r="I128" s="4" t="s">
        <v>32</v>
      </c>
      <c r="J128" s="4" t="s">
        <v>33</v>
      </c>
      <c r="K128" s="4" t="s">
        <v>34</v>
      </c>
      <c r="L128" s="4" t="s">
        <v>81</v>
      </c>
      <c r="M128" s="4" t="s">
        <v>39</v>
      </c>
      <c r="N128" s="4" t="s">
        <v>37</v>
      </c>
      <c r="O128" s="4" t="s">
        <v>37</v>
      </c>
      <c r="P128" s="4" t="s">
        <v>36</v>
      </c>
      <c r="Q128" s="4" t="s">
        <v>39</v>
      </c>
      <c r="R128" s="4" t="s">
        <v>37</v>
      </c>
      <c r="S128" s="4" t="s">
        <v>37</v>
      </c>
      <c r="T128" s="4" t="s">
        <v>38</v>
      </c>
      <c r="U128" s="4" t="s">
        <v>37</v>
      </c>
      <c r="V128" s="4" t="s">
        <v>37</v>
      </c>
      <c r="W128" s="4" t="s">
        <v>36</v>
      </c>
      <c r="X128" s="4" t="s">
        <v>39</v>
      </c>
      <c r="Y128" s="4" t="s">
        <v>36</v>
      </c>
      <c r="Z128" s="4" t="s">
        <v>39</v>
      </c>
      <c r="AA128" s="4" t="s">
        <v>37</v>
      </c>
      <c r="AB128" s="4" t="s">
        <v>33</v>
      </c>
      <c r="AC128" s="4" t="s">
        <v>40</v>
      </c>
      <c r="AF128" s="7">
        <f>Table13[[#This Row],[Completion time]]-Table13[[#This Row],[Start time]]</f>
        <v>1.3657407398568466E-3</v>
      </c>
      <c r="AG128" s="8">
        <f>2026-Table13[[#This Row],[What is your year of birth? ]]</f>
        <v>33</v>
      </c>
      <c r="AH128">
        <f>2026-Table13[[#This Row],[Please indicate the year you graduated from the Faculty of Medicine]]</f>
        <v>9</v>
      </c>
      <c r="AI128">
        <f t="shared" si="17"/>
        <v>0</v>
      </c>
      <c r="AJ128">
        <f t="shared" si="18"/>
        <v>0</v>
      </c>
      <c r="AK128">
        <f t="shared" si="19"/>
        <v>0</v>
      </c>
      <c r="AL128">
        <f t="shared" si="20"/>
        <v>0</v>
      </c>
      <c r="AM128">
        <f t="shared" si="21"/>
        <v>1</v>
      </c>
      <c r="AN128">
        <f t="shared" si="22"/>
        <v>0</v>
      </c>
      <c r="AO128">
        <f t="shared" si="23"/>
        <v>0</v>
      </c>
      <c r="AP128">
        <f t="shared" si="24"/>
        <v>1</v>
      </c>
      <c r="AQ128">
        <f t="shared" si="25"/>
        <v>1</v>
      </c>
      <c r="AR128">
        <f t="shared" si="26"/>
        <v>0</v>
      </c>
      <c r="AS128">
        <f t="shared" si="27"/>
        <v>0</v>
      </c>
      <c r="AT128">
        <f t="shared" si="28"/>
        <v>0</v>
      </c>
      <c r="AU128">
        <f t="shared" si="29"/>
        <v>0</v>
      </c>
      <c r="AV128">
        <f t="shared" si="30"/>
        <v>0</v>
      </c>
      <c r="AW128">
        <f t="shared" si="31"/>
        <v>0</v>
      </c>
      <c r="AX128">
        <f t="shared" si="32"/>
        <v>3</v>
      </c>
      <c r="AY128">
        <f>IF(Table13[[#This Row],[Please choose your sex]]="Male",0,1)</f>
        <v>1</v>
      </c>
      <c r="AZ128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28">
        <f>IF(Table13[[#This Row],[Do you hold a subspecialty qualification (degree / certificate) in Reproductive Endocrinology and Infertility?
]]="No",0,1)</f>
        <v>0</v>
      </c>
      <c r="BB128">
        <f>IF(Table13[[#This Row],[Do you provide clinical care for the management of infertility?]]="No",0,1)</f>
        <v>1</v>
      </c>
      <c r="BC128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28">
        <f>IF(Table13[[#This Row],[Do you have access to evidence-based clinical guidelines at your workplace?]]="No",0,1)</f>
        <v>1</v>
      </c>
      <c r="BE128">
        <f>IF(OR(Table13[[#This Row],[What is your practice setting? (Select all that apply.)]]="University hospital ;",Table13[[#This Row],[What is your practice setting? (Select all that apply.)]]="Public hospital ;"),1,0)</f>
        <v>0</v>
      </c>
      <c r="BF128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29" spans="1:58" ht="16" x14ac:dyDescent="0.2">
      <c r="A129" s="4">
        <v>119</v>
      </c>
      <c r="B129" s="5">
        <v>46198.741793981484</v>
      </c>
      <c r="C129" s="5">
        <v>46198.745659722219</v>
      </c>
      <c r="D129" s="4" t="s">
        <v>29</v>
      </c>
      <c r="E129" s="6">
        <v>1988</v>
      </c>
      <c r="F129" s="4" t="s">
        <v>44</v>
      </c>
      <c r="G129" s="6">
        <v>2012</v>
      </c>
      <c r="H129" s="4" t="s">
        <v>45</v>
      </c>
      <c r="I129" s="4" t="s">
        <v>32</v>
      </c>
      <c r="J129" s="4" t="s">
        <v>33</v>
      </c>
      <c r="K129" s="4" t="s">
        <v>66</v>
      </c>
      <c r="L129" s="4" t="s">
        <v>98</v>
      </c>
      <c r="M129" s="4" t="s">
        <v>38</v>
      </c>
      <c r="N129" s="4" t="s">
        <v>38</v>
      </c>
      <c r="O129" s="4" t="s">
        <v>38</v>
      </c>
      <c r="P129" s="4" t="s">
        <v>37</v>
      </c>
      <c r="Q129" s="4" t="s">
        <v>37</v>
      </c>
      <c r="R129" s="4" t="s">
        <v>38</v>
      </c>
      <c r="S129" s="4" t="s">
        <v>37</v>
      </c>
      <c r="T129" s="4" t="s">
        <v>37</v>
      </c>
      <c r="U129" s="4" t="s">
        <v>37</v>
      </c>
      <c r="V129" s="4" t="s">
        <v>37</v>
      </c>
      <c r="W129" s="4" t="s">
        <v>38</v>
      </c>
      <c r="X129" s="4" t="s">
        <v>38</v>
      </c>
      <c r="Y129" s="4" t="s">
        <v>37</v>
      </c>
      <c r="Z129" s="4" t="s">
        <v>37</v>
      </c>
      <c r="AA129" s="4" t="s">
        <v>37</v>
      </c>
      <c r="AB129" s="4" t="s">
        <v>33</v>
      </c>
      <c r="AC129" s="4" t="s">
        <v>101</v>
      </c>
      <c r="AF129" s="7">
        <f>Table13[[#This Row],[Completion time]]-Table13[[#This Row],[Start time]]</f>
        <v>3.8657407349091955E-3</v>
      </c>
      <c r="AG129" s="8">
        <f>2026-Table13[[#This Row],[What is your year of birth? ]]</f>
        <v>38</v>
      </c>
      <c r="AH129">
        <f>2026-Table13[[#This Row],[Please indicate the year you graduated from the Faculty of Medicine]]</f>
        <v>14</v>
      </c>
      <c r="AI129">
        <f t="shared" si="17"/>
        <v>1</v>
      </c>
      <c r="AJ129">
        <f t="shared" si="18"/>
        <v>1</v>
      </c>
      <c r="AK129">
        <f t="shared" si="19"/>
        <v>1</v>
      </c>
      <c r="AL129">
        <f t="shared" si="20"/>
        <v>0</v>
      </c>
      <c r="AM129">
        <f t="shared" si="21"/>
        <v>1</v>
      </c>
      <c r="AN129">
        <f t="shared" si="22"/>
        <v>1</v>
      </c>
      <c r="AO129">
        <f t="shared" si="23"/>
        <v>0</v>
      </c>
      <c r="AP129">
        <f t="shared" si="24"/>
        <v>0</v>
      </c>
      <c r="AQ129">
        <f t="shared" si="25"/>
        <v>1</v>
      </c>
      <c r="AR129">
        <f t="shared" si="26"/>
        <v>0</v>
      </c>
      <c r="AS129">
        <f t="shared" si="27"/>
        <v>1</v>
      </c>
      <c r="AT129">
        <f t="shared" si="28"/>
        <v>1</v>
      </c>
      <c r="AU129">
        <f t="shared" si="29"/>
        <v>0</v>
      </c>
      <c r="AV129">
        <f t="shared" si="30"/>
        <v>0</v>
      </c>
      <c r="AW129">
        <f t="shared" si="31"/>
        <v>0</v>
      </c>
      <c r="AX129">
        <f t="shared" si="32"/>
        <v>8</v>
      </c>
      <c r="AY129">
        <f>IF(Table13[[#This Row],[Please choose your sex]]="Male",0,1)</f>
        <v>1</v>
      </c>
      <c r="AZ129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29">
        <f>IF(Table13[[#This Row],[Do you hold a subspecialty qualification (degree / certificate) in Reproductive Endocrinology and Infertility?
]]="No",0,1)</f>
        <v>0</v>
      </c>
      <c r="BB129">
        <f>IF(Table13[[#This Row],[Do you provide clinical care for the management of infertility?]]="No",0,1)</f>
        <v>1</v>
      </c>
      <c r="BC129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29">
        <f>IF(Table13[[#This Row],[Do you have access to evidence-based clinical guidelines at your workplace?]]="No",0,1)</f>
        <v>1</v>
      </c>
      <c r="BE129">
        <f>IF(OR(Table13[[#This Row],[What is your practice setting? (Select all that apply.)]]="University hospital ;",Table13[[#This Row],[What is your practice setting? (Select all that apply.)]]="Public hospital ;"),1,0)</f>
        <v>0</v>
      </c>
      <c r="BF129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30" spans="1:58" ht="16" x14ac:dyDescent="0.2">
      <c r="A130" s="4">
        <v>120</v>
      </c>
      <c r="B130" s="5">
        <v>46198.770243055558</v>
      </c>
      <c r="C130" s="5">
        <v>46198.77275462963</v>
      </c>
      <c r="D130" s="4" t="s">
        <v>29</v>
      </c>
      <c r="E130" s="6">
        <v>1989</v>
      </c>
      <c r="F130" s="4" t="s">
        <v>30</v>
      </c>
      <c r="G130" s="6">
        <v>2013</v>
      </c>
      <c r="H130" s="4" t="s">
        <v>50</v>
      </c>
      <c r="I130" s="4" t="s">
        <v>33</v>
      </c>
      <c r="J130" s="4" t="s">
        <v>33</v>
      </c>
      <c r="K130" s="4" t="s">
        <v>34</v>
      </c>
      <c r="L130" s="4" t="s">
        <v>98</v>
      </c>
      <c r="M130" s="4" t="s">
        <v>47</v>
      </c>
      <c r="N130" s="4" t="s">
        <v>38</v>
      </c>
      <c r="O130" s="4" t="s">
        <v>38</v>
      </c>
      <c r="P130" s="4" t="s">
        <v>39</v>
      </c>
      <c r="Q130" s="4" t="s">
        <v>39</v>
      </c>
      <c r="R130" s="4" t="s">
        <v>38</v>
      </c>
      <c r="S130" s="4" t="s">
        <v>38</v>
      </c>
      <c r="T130" s="4" t="s">
        <v>39</v>
      </c>
      <c r="U130" s="4" t="s">
        <v>39</v>
      </c>
      <c r="V130" s="4" t="s">
        <v>39</v>
      </c>
      <c r="W130" s="4" t="s">
        <v>39</v>
      </c>
      <c r="X130" s="4" t="s">
        <v>36</v>
      </c>
      <c r="Y130" s="4" t="s">
        <v>39</v>
      </c>
      <c r="Z130" s="4" t="s">
        <v>37</v>
      </c>
      <c r="AA130" s="4" t="s">
        <v>36</v>
      </c>
      <c r="AB130" s="4" t="s">
        <v>33</v>
      </c>
      <c r="AC130" s="4" t="s">
        <v>102</v>
      </c>
      <c r="AF130" s="7">
        <f>Table13[[#This Row],[Completion time]]-Table13[[#This Row],[Start time]]</f>
        <v>2.5115740718320012E-3</v>
      </c>
      <c r="AG130" s="8">
        <f>2026-Table13[[#This Row],[What is your year of birth? ]]</f>
        <v>37</v>
      </c>
      <c r="AH130">
        <f>2026-Table13[[#This Row],[Please indicate the year you graduated from the Faculty of Medicine]]</f>
        <v>13</v>
      </c>
      <c r="AI130">
        <f t="shared" si="17"/>
        <v>1</v>
      </c>
      <c r="AJ130">
        <f t="shared" si="18"/>
        <v>1</v>
      </c>
      <c r="AK130">
        <f t="shared" si="19"/>
        <v>1</v>
      </c>
      <c r="AL130">
        <f t="shared" si="20"/>
        <v>0</v>
      </c>
      <c r="AM130">
        <f t="shared" si="21"/>
        <v>1</v>
      </c>
      <c r="AN130">
        <f t="shared" si="22"/>
        <v>1</v>
      </c>
      <c r="AO130">
        <f t="shared" si="23"/>
        <v>1</v>
      </c>
      <c r="AP130">
        <f t="shared" si="24"/>
        <v>0</v>
      </c>
      <c r="AQ130">
        <f t="shared" si="25"/>
        <v>1</v>
      </c>
      <c r="AR130">
        <f t="shared" si="26"/>
        <v>0</v>
      </c>
      <c r="AS130">
        <f t="shared" si="27"/>
        <v>0</v>
      </c>
      <c r="AT130">
        <f t="shared" si="28"/>
        <v>0</v>
      </c>
      <c r="AU130">
        <f t="shared" si="29"/>
        <v>0</v>
      </c>
      <c r="AV130">
        <f t="shared" si="30"/>
        <v>0</v>
      </c>
      <c r="AW130">
        <f t="shared" si="31"/>
        <v>0</v>
      </c>
      <c r="AX130">
        <f t="shared" si="32"/>
        <v>7</v>
      </c>
      <c r="AY130">
        <f>IF(Table13[[#This Row],[Please choose your sex]]="Male",0,1)</f>
        <v>0</v>
      </c>
      <c r="AZ130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30">
        <f>IF(Table13[[#This Row],[Do you hold a subspecialty qualification (degree / certificate) in Reproductive Endocrinology and Infertility?
]]="No",0,1)</f>
        <v>1</v>
      </c>
      <c r="BB130">
        <f>IF(Table13[[#This Row],[Do you provide clinical care for the management of infertility?]]="No",0,1)</f>
        <v>1</v>
      </c>
      <c r="BC130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30">
        <f>IF(Table13[[#This Row],[Do you have access to evidence-based clinical guidelines at your workplace?]]="No",0,1)</f>
        <v>1</v>
      </c>
      <c r="BE130">
        <f>IF(OR(Table13[[#This Row],[What is your practice setting? (Select all that apply.)]]="University hospital ;",Table13[[#This Row],[What is your practice setting? (Select all that apply.)]]="Public hospital ;"),1,0)</f>
        <v>0</v>
      </c>
      <c r="BF130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31" spans="1:58" ht="16" x14ac:dyDescent="0.2">
      <c r="A131" s="4">
        <v>121</v>
      </c>
      <c r="B131" s="5">
        <v>46198.775196759256</v>
      </c>
      <c r="C131" s="5">
        <v>46198.779398148145</v>
      </c>
      <c r="D131" s="4" t="s">
        <v>29</v>
      </c>
      <c r="E131" s="6">
        <v>1995</v>
      </c>
      <c r="F131" s="4" t="s">
        <v>30</v>
      </c>
      <c r="G131" s="6">
        <v>2019</v>
      </c>
      <c r="H131" s="4" t="s">
        <v>50</v>
      </c>
      <c r="I131" s="4" t="s">
        <v>33</v>
      </c>
      <c r="J131" s="4" t="s">
        <v>33</v>
      </c>
      <c r="K131" s="4" t="s">
        <v>34</v>
      </c>
      <c r="L131" s="4" t="s">
        <v>103</v>
      </c>
      <c r="M131" s="4" t="s">
        <v>37</v>
      </c>
      <c r="N131" s="4" t="s">
        <v>39</v>
      </c>
      <c r="O131" s="4" t="s">
        <v>37</v>
      </c>
      <c r="P131" s="4" t="s">
        <v>38</v>
      </c>
      <c r="Q131" s="4" t="s">
        <v>39</v>
      </c>
      <c r="R131" s="4" t="s">
        <v>36</v>
      </c>
      <c r="S131" s="4" t="s">
        <v>38</v>
      </c>
      <c r="T131" s="4" t="s">
        <v>38</v>
      </c>
      <c r="U131" s="4" t="s">
        <v>39</v>
      </c>
      <c r="V131" s="4" t="s">
        <v>36</v>
      </c>
      <c r="W131" s="4" t="s">
        <v>38</v>
      </c>
      <c r="X131" s="4" t="s">
        <v>36</v>
      </c>
      <c r="Y131" s="4" t="s">
        <v>37</v>
      </c>
      <c r="Z131" s="4" t="s">
        <v>38</v>
      </c>
      <c r="AA131" s="4" t="s">
        <v>38</v>
      </c>
      <c r="AB131" s="4" t="s">
        <v>33</v>
      </c>
      <c r="AC131" s="4" t="s">
        <v>104</v>
      </c>
      <c r="AF131" s="7">
        <f>Table13[[#This Row],[Completion time]]-Table13[[#This Row],[Start time]]</f>
        <v>4.2013888887595385E-3</v>
      </c>
      <c r="AG131" s="8">
        <f>2026-Table13[[#This Row],[What is your year of birth? ]]</f>
        <v>31</v>
      </c>
      <c r="AH131">
        <f>2026-Table13[[#This Row],[Please indicate the year you graduated from the Faculty of Medicine]]</f>
        <v>7</v>
      </c>
      <c r="AI131">
        <f t="shared" ref="AI131:AI170" si="33">IF(OR(M131="Strongly disagree", M131="Disagree"), 1, 0)</f>
        <v>0</v>
      </c>
      <c r="AJ131">
        <f t="shared" ref="AJ131:AJ170" si="34">IF(OR(N131="Strongly disagree", N131="Disagree"), 1, 0)</f>
        <v>0</v>
      </c>
      <c r="AK131">
        <f t="shared" ref="AK131:AK170" si="35">IF(OR(O131="Strongly disagree", O131="Disagree"), 1, 0)</f>
        <v>0</v>
      </c>
      <c r="AL131">
        <f t="shared" ref="AL131:AL170" si="36">IF(OR(P131="Strongly disagree", P131="Disagree"), 1, 0)</f>
        <v>1</v>
      </c>
      <c r="AM131">
        <f t="shared" ref="AM131:AM170" si="37">IF(OR(Q131="Strongly agree", Q131="Agree"), 1, 0)</f>
        <v>1</v>
      </c>
      <c r="AN131">
        <f t="shared" ref="AN131:AN170" si="38">IF(OR(R131="Strongly disagree", R131="Disagree"), 1, 0)</f>
        <v>0</v>
      </c>
      <c r="AO131">
        <f t="shared" ref="AO131:AO170" si="39">IF(OR(S131="Strongly disagree", S131="Disagree"), 1, 0)</f>
        <v>1</v>
      </c>
      <c r="AP131">
        <f t="shared" ref="AP131:AP170" si="40">IF(OR(T131="Strongly disagree", T131="Disagree"), 1, 0)</f>
        <v>1</v>
      </c>
      <c r="AQ131">
        <f t="shared" ref="AQ131:AQ170" si="41">IF(OR(U131="Strongly agree", U131="Agree"), 1, 0)</f>
        <v>1</v>
      </c>
      <c r="AR131">
        <f t="shared" ref="AR131:AR170" si="42">IF(OR(V131="Strongly disagree", V131="Disagree"), 1, 0)</f>
        <v>0</v>
      </c>
      <c r="AS131">
        <f t="shared" ref="AS131:AS170" si="43">IF(OR(W131="Strongly disagree", W131="Disagree"), 1, 0)</f>
        <v>1</v>
      </c>
      <c r="AT131">
        <f t="shared" ref="AT131:AT170" si="44">IF(OR(X131="Strongly disagree", X131="Disagree"), 1, 0)</f>
        <v>0</v>
      </c>
      <c r="AU131">
        <f t="shared" ref="AU131:AU170" si="45">IF(OR(Y131="Strongly disagree", Y131="Disagree"), 1, 0)</f>
        <v>0</v>
      </c>
      <c r="AV131">
        <f t="shared" ref="AV131:AV170" si="46">IF(OR(Z131="Strongly disagree", Z131="Disagree"), 1, 0)</f>
        <v>1</v>
      </c>
      <c r="AW131">
        <f t="shared" ref="AW131:AW170" si="47">IF(OR(AA131="Strongly disagree", AA131="Disagree"), 1, 0)</f>
        <v>1</v>
      </c>
      <c r="AX131">
        <f t="shared" ref="AX131:AX170" si="48">SUM(AI131:AW131)</f>
        <v>8</v>
      </c>
      <c r="AY131">
        <f>IF(Table13[[#This Row],[Please choose your sex]]="Male",0,1)</f>
        <v>0</v>
      </c>
      <c r="AZ131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31">
        <f>IF(Table13[[#This Row],[Do you hold a subspecialty qualification (degree / certificate) in Reproductive Endocrinology and Infertility?
]]="No",0,1)</f>
        <v>1</v>
      </c>
      <c r="BB131">
        <f>IF(Table13[[#This Row],[Do you provide clinical care for the management of infertility?]]="No",0,1)</f>
        <v>1</v>
      </c>
      <c r="BC131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31">
        <f>IF(Table13[[#This Row],[Do you have access to evidence-based clinical guidelines at your workplace?]]="No",0,1)</f>
        <v>1</v>
      </c>
      <c r="BE131">
        <f>IF(OR(Table13[[#This Row],[What is your practice setting? (Select all that apply.)]]="University hospital ;",Table13[[#This Row],[What is your practice setting? (Select all that apply.)]]="Public hospital ;"),1,0)</f>
        <v>0</v>
      </c>
      <c r="BF131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32" spans="1:58" ht="16" x14ac:dyDescent="0.2">
      <c r="A132" s="4">
        <v>123</v>
      </c>
      <c r="B132" s="5">
        <v>46198.8596875</v>
      </c>
      <c r="C132" s="5">
        <v>46198.861481481479</v>
      </c>
      <c r="D132" s="4" t="s">
        <v>29</v>
      </c>
      <c r="E132" s="6">
        <v>1995</v>
      </c>
      <c r="F132" s="4" t="s">
        <v>30</v>
      </c>
      <c r="G132" s="6">
        <v>2019</v>
      </c>
      <c r="H132" s="4" t="s">
        <v>89</v>
      </c>
      <c r="I132" s="4" t="s">
        <v>33</v>
      </c>
      <c r="J132" s="4" t="s">
        <v>33</v>
      </c>
      <c r="K132" s="4" t="s">
        <v>34</v>
      </c>
      <c r="L132" s="4" t="s">
        <v>43</v>
      </c>
      <c r="M132" s="4" t="s">
        <v>36</v>
      </c>
      <c r="N132" s="4" t="s">
        <v>36</v>
      </c>
      <c r="O132" s="4" t="s">
        <v>36</v>
      </c>
      <c r="P132" s="4" t="s">
        <v>36</v>
      </c>
      <c r="Q132" s="4" t="s">
        <v>36</v>
      </c>
      <c r="R132" s="4" t="s">
        <v>36</v>
      </c>
      <c r="S132" s="4" t="s">
        <v>36</v>
      </c>
      <c r="T132" s="4" t="s">
        <v>36</v>
      </c>
      <c r="U132" s="4" t="s">
        <v>36</v>
      </c>
      <c r="V132" s="4" t="s">
        <v>36</v>
      </c>
      <c r="W132" s="4" t="s">
        <v>36</v>
      </c>
      <c r="X132" s="4" t="s">
        <v>36</v>
      </c>
      <c r="Y132" s="4" t="s">
        <v>36</v>
      </c>
      <c r="Z132" s="4" t="s">
        <v>36</v>
      </c>
      <c r="AA132" s="4" t="s">
        <v>36</v>
      </c>
      <c r="AB132" s="4" t="s">
        <v>33</v>
      </c>
      <c r="AC132" s="4" t="s">
        <v>65</v>
      </c>
      <c r="AF132" s="7">
        <f>Table13[[#This Row],[Completion time]]-Table13[[#This Row],[Start time]]</f>
        <v>1.7939814788405783E-3</v>
      </c>
      <c r="AG132" s="8">
        <f>2026-Table13[[#This Row],[What is your year of birth? ]]</f>
        <v>31</v>
      </c>
      <c r="AH132">
        <f>2026-Table13[[#This Row],[Please indicate the year you graduated from the Faculty of Medicine]]</f>
        <v>7</v>
      </c>
      <c r="AI132">
        <f t="shared" si="33"/>
        <v>0</v>
      </c>
      <c r="AJ132">
        <f t="shared" si="34"/>
        <v>0</v>
      </c>
      <c r="AK132">
        <f t="shared" si="35"/>
        <v>0</v>
      </c>
      <c r="AL132">
        <f t="shared" si="36"/>
        <v>0</v>
      </c>
      <c r="AM132">
        <f t="shared" si="37"/>
        <v>0</v>
      </c>
      <c r="AN132">
        <f t="shared" si="38"/>
        <v>0</v>
      </c>
      <c r="AO132">
        <f t="shared" si="39"/>
        <v>0</v>
      </c>
      <c r="AP132">
        <f t="shared" si="40"/>
        <v>0</v>
      </c>
      <c r="AQ132">
        <f t="shared" si="41"/>
        <v>0</v>
      </c>
      <c r="AR132">
        <f t="shared" si="42"/>
        <v>0</v>
      </c>
      <c r="AS132">
        <f t="shared" si="43"/>
        <v>0</v>
      </c>
      <c r="AT132">
        <f t="shared" si="44"/>
        <v>0</v>
      </c>
      <c r="AU132">
        <f t="shared" si="45"/>
        <v>0</v>
      </c>
      <c r="AV132">
        <f t="shared" si="46"/>
        <v>0</v>
      </c>
      <c r="AW132">
        <f t="shared" si="47"/>
        <v>0</v>
      </c>
      <c r="AX132">
        <f t="shared" si="48"/>
        <v>0</v>
      </c>
      <c r="AY132">
        <f>IF(Table13[[#This Row],[Please choose your sex]]="Male",0,1)</f>
        <v>0</v>
      </c>
      <c r="AZ132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32">
        <f>IF(Table13[[#This Row],[Do you hold a subspecialty qualification (degree / certificate) in Reproductive Endocrinology and Infertility?
]]="No",0,1)</f>
        <v>1</v>
      </c>
      <c r="BB132">
        <f>IF(Table13[[#This Row],[Do you provide clinical care for the management of infertility?]]="No",0,1)</f>
        <v>1</v>
      </c>
      <c r="BC132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32">
        <f>IF(Table13[[#This Row],[Do you have access to evidence-based clinical guidelines at your workplace?]]="No",0,1)</f>
        <v>1</v>
      </c>
      <c r="BE132">
        <f>IF(OR(Table13[[#This Row],[What is your practice setting? (Select all that apply.)]]="University hospital ;",Table13[[#This Row],[What is your practice setting? (Select all that apply.)]]="Public hospital ;"),1,0)</f>
        <v>1</v>
      </c>
      <c r="BF132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33" spans="1:58" ht="16" x14ac:dyDescent="0.2">
      <c r="A133" s="4">
        <v>124</v>
      </c>
      <c r="B133" s="5">
        <v>46198.896319444444</v>
      </c>
      <c r="C133" s="5">
        <v>46198.897465277776</v>
      </c>
      <c r="D133" s="4" t="s">
        <v>29</v>
      </c>
      <c r="E133" s="6">
        <v>1993</v>
      </c>
      <c r="F133" s="4" t="s">
        <v>30</v>
      </c>
      <c r="G133" s="6">
        <v>2017</v>
      </c>
      <c r="H133" s="4" t="s">
        <v>96</v>
      </c>
      <c r="I133" s="4" t="s">
        <v>32</v>
      </c>
      <c r="J133" s="4" t="s">
        <v>33</v>
      </c>
      <c r="K133" s="4" t="s">
        <v>66</v>
      </c>
      <c r="L133" s="4" t="s">
        <v>107</v>
      </c>
      <c r="M133" s="4" t="s">
        <v>47</v>
      </c>
      <c r="N133" s="4" t="s">
        <v>47</v>
      </c>
      <c r="O133" s="4" t="s">
        <v>47</v>
      </c>
      <c r="P133" s="4" t="s">
        <v>39</v>
      </c>
      <c r="Q133" s="4" t="s">
        <v>39</v>
      </c>
      <c r="R133" s="4" t="s">
        <v>47</v>
      </c>
      <c r="S133" s="4" t="s">
        <v>37</v>
      </c>
      <c r="T133" s="4" t="s">
        <v>37</v>
      </c>
      <c r="U133" s="4" t="s">
        <v>39</v>
      </c>
      <c r="V133" s="4" t="s">
        <v>47</v>
      </c>
      <c r="W133" s="4" t="s">
        <v>47</v>
      </c>
      <c r="X133" s="4" t="s">
        <v>36</v>
      </c>
      <c r="Y133" s="4" t="s">
        <v>39</v>
      </c>
      <c r="Z133" s="4" t="s">
        <v>39</v>
      </c>
      <c r="AA133" s="4" t="s">
        <v>37</v>
      </c>
      <c r="AB133" s="4" t="s">
        <v>32</v>
      </c>
      <c r="AC133" s="4" t="s">
        <v>40</v>
      </c>
      <c r="AF133" s="7">
        <f>Table13[[#This Row],[Completion time]]-Table13[[#This Row],[Start time]]</f>
        <v>1.1458333319751546E-3</v>
      </c>
      <c r="AG133" s="8">
        <f>2026-Table13[[#This Row],[What is your year of birth? ]]</f>
        <v>33</v>
      </c>
      <c r="AH133">
        <f>2026-Table13[[#This Row],[Please indicate the year you graduated from the Faculty of Medicine]]</f>
        <v>9</v>
      </c>
      <c r="AI133">
        <f t="shared" si="33"/>
        <v>1</v>
      </c>
      <c r="AJ133">
        <f t="shared" si="34"/>
        <v>1</v>
      </c>
      <c r="AK133">
        <f t="shared" si="35"/>
        <v>1</v>
      </c>
      <c r="AL133">
        <f t="shared" si="36"/>
        <v>0</v>
      </c>
      <c r="AM133">
        <f t="shared" si="37"/>
        <v>1</v>
      </c>
      <c r="AN133">
        <f t="shared" si="38"/>
        <v>1</v>
      </c>
      <c r="AO133">
        <f t="shared" si="39"/>
        <v>0</v>
      </c>
      <c r="AP133">
        <f t="shared" si="40"/>
        <v>0</v>
      </c>
      <c r="AQ133">
        <f t="shared" si="41"/>
        <v>1</v>
      </c>
      <c r="AR133">
        <f t="shared" si="42"/>
        <v>1</v>
      </c>
      <c r="AS133">
        <f t="shared" si="43"/>
        <v>1</v>
      </c>
      <c r="AT133">
        <f t="shared" si="44"/>
        <v>0</v>
      </c>
      <c r="AU133">
        <f t="shared" si="45"/>
        <v>0</v>
      </c>
      <c r="AV133">
        <f t="shared" si="46"/>
        <v>0</v>
      </c>
      <c r="AW133">
        <f t="shared" si="47"/>
        <v>0</v>
      </c>
      <c r="AX133">
        <f t="shared" si="48"/>
        <v>8</v>
      </c>
      <c r="AY133">
        <f>IF(Table13[[#This Row],[Please choose your sex]]="Male",0,1)</f>
        <v>0</v>
      </c>
      <c r="AZ133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33">
        <f>IF(Table13[[#This Row],[Do you hold a subspecialty qualification (degree / certificate) in Reproductive Endocrinology and Infertility?
]]="No",0,1)</f>
        <v>0</v>
      </c>
      <c r="BB133">
        <f>IF(Table13[[#This Row],[Do you provide clinical care for the management of infertility?]]="No",0,1)</f>
        <v>1</v>
      </c>
      <c r="BC133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33">
        <f>IF(Table13[[#This Row],[Do you have access to evidence-based clinical guidelines at your workplace?]]="No",0,1)</f>
        <v>0</v>
      </c>
      <c r="BE133">
        <f>IF(OR(Table13[[#This Row],[What is your practice setting? (Select all that apply.)]]="University hospital ;",Table13[[#This Row],[What is your practice setting? (Select all that apply.)]]="Public hospital ;"),1,0)</f>
        <v>0</v>
      </c>
      <c r="BF133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34" spans="1:58" ht="16" x14ac:dyDescent="0.2">
      <c r="A134" s="4">
        <v>125</v>
      </c>
      <c r="B134" s="5">
        <v>46198.898726851854</v>
      </c>
      <c r="C134" s="5">
        <v>46198.899467592593</v>
      </c>
      <c r="D134" s="4" t="s">
        <v>29</v>
      </c>
      <c r="E134" s="6">
        <v>1996</v>
      </c>
      <c r="F134" s="4" t="s">
        <v>44</v>
      </c>
      <c r="G134" s="6">
        <v>2020</v>
      </c>
      <c r="H134" s="4" t="s">
        <v>50</v>
      </c>
      <c r="I134" s="4" t="s">
        <v>32</v>
      </c>
      <c r="J134" s="4" t="s">
        <v>33</v>
      </c>
      <c r="K134" s="4" t="s">
        <v>34</v>
      </c>
      <c r="L134" s="4" t="s">
        <v>43</v>
      </c>
      <c r="M134" s="4" t="s">
        <v>47</v>
      </c>
      <c r="N134" s="4" t="s">
        <v>47</v>
      </c>
      <c r="O134" s="4" t="s">
        <v>36</v>
      </c>
      <c r="P134" s="4" t="s">
        <v>37</v>
      </c>
      <c r="Q134" s="4" t="s">
        <v>39</v>
      </c>
      <c r="R134" s="4" t="s">
        <v>47</v>
      </c>
      <c r="S134" s="4" t="s">
        <v>38</v>
      </c>
      <c r="T134" s="4" t="s">
        <v>38</v>
      </c>
      <c r="U134" s="4" t="s">
        <v>39</v>
      </c>
      <c r="V134" s="4" t="s">
        <v>47</v>
      </c>
      <c r="W134" s="4" t="s">
        <v>36</v>
      </c>
      <c r="X134" s="4" t="s">
        <v>36</v>
      </c>
      <c r="Y134" s="4" t="s">
        <v>39</v>
      </c>
      <c r="Z134" s="4" t="s">
        <v>39</v>
      </c>
      <c r="AA134" s="4" t="s">
        <v>47</v>
      </c>
      <c r="AB134" s="4" t="s">
        <v>33</v>
      </c>
      <c r="AC134" s="4" t="s">
        <v>57</v>
      </c>
      <c r="AF134" s="7">
        <f>Table13[[#This Row],[Completion time]]-Table13[[#This Row],[Start time]]</f>
        <v>7.4074073927477002E-4</v>
      </c>
      <c r="AG134" s="8">
        <f>2026-Table13[[#This Row],[What is your year of birth? ]]</f>
        <v>30</v>
      </c>
      <c r="AH134">
        <f>2026-Table13[[#This Row],[Please indicate the year you graduated from the Faculty of Medicine]]</f>
        <v>6</v>
      </c>
      <c r="AI134">
        <f t="shared" si="33"/>
        <v>1</v>
      </c>
      <c r="AJ134">
        <f t="shared" si="34"/>
        <v>1</v>
      </c>
      <c r="AK134">
        <f t="shared" si="35"/>
        <v>0</v>
      </c>
      <c r="AL134">
        <f t="shared" si="36"/>
        <v>0</v>
      </c>
      <c r="AM134">
        <f t="shared" si="37"/>
        <v>1</v>
      </c>
      <c r="AN134">
        <f t="shared" si="38"/>
        <v>1</v>
      </c>
      <c r="AO134">
        <f t="shared" si="39"/>
        <v>1</v>
      </c>
      <c r="AP134">
        <f t="shared" si="40"/>
        <v>1</v>
      </c>
      <c r="AQ134">
        <f t="shared" si="41"/>
        <v>1</v>
      </c>
      <c r="AR134">
        <f t="shared" si="42"/>
        <v>1</v>
      </c>
      <c r="AS134">
        <f t="shared" si="43"/>
        <v>0</v>
      </c>
      <c r="AT134">
        <f t="shared" si="44"/>
        <v>0</v>
      </c>
      <c r="AU134">
        <f t="shared" si="45"/>
        <v>0</v>
      </c>
      <c r="AV134">
        <f t="shared" si="46"/>
        <v>0</v>
      </c>
      <c r="AW134">
        <f t="shared" si="47"/>
        <v>1</v>
      </c>
      <c r="AX134">
        <f t="shared" si="48"/>
        <v>9</v>
      </c>
      <c r="AY134">
        <f>IF(Table13[[#This Row],[Please choose your sex]]="Male",0,1)</f>
        <v>1</v>
      </c>
      <c r="AZ134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34">
        <f>IF(Table13[[#This Row],[Do you hold a subspecialty qualification (degree / certificate) in Reproductive Endocrinology and Infertility?
]]="No",0,1)</f>
        <v>0</v>
      </c>
      <c r="BB134">
        <f>IF(Table13[[#This Row],[Do you provide clinical care for the management of infertility?]]="No",0,1)</f>
        <v>1</v>
      </c>
      <c r="BC134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34">
        <f>IF(Table13[[#This Row],[Do you have access to evidence-based clinical guidelines at your workplace?]]="No",0,1)</f>
        <v>1</v>
      </c>
      <c r="BE134">
        <f>IF(OR(Table13[[#This Row],[What is your practice setting? (Select all that apply.)]]="University hospital ;",Table13[[#This Row],[What is your practice setting? (Select all that apply.)]]="Public hospital ;"),1,0)</f>
        <v>1</v>
      </c>
      <c r="BF134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35" spans="1:58" ht="16" x14ac:dyDescent="0.2">
      <c r="A135" s="4">
        <v>126</v>
      </c>
      <c r="B135" s="5">
        <v>46198.899618055555</v>
      </c>
      <c r="C135" s="5">
        <v>46198.90347222222</v>
      </c>
      <c r="D135" s="4" t="s">
        <v>29</v>
      </c>
      <c r="E135" s="6">
        <v>1987</v>
      </c>
      <c r="F135" s="4" t="s">
        <v>44</v>
      </c>
      <c r="G135" s="6">
        <v>2002</v>
      </c>
      <c r="H135" s="4" t="s">
        <v>50</v>
      </c>
      <c r="I135" s="4" t="s">
        <v>32</v>
      </c>
      <c r="J135" s="4" t="s">
        <v>33</v>
      </c>
      <c r="K135" s="4" t="s">
        <v>66</v>
      </c>
      <c r="L135" s="4" t="s">
        <v>70</v>
      </c>
      <c r="M135" s="4" t="s">
        <v>37</v>
      </c>
      <c r="N135" s="4" t="s">
        <v>36</v>
      </c>
      <c r="O135" s="4" t="s">
        <v>37</v>
      </c>
      <c r="P135" s="4" t="s">
        <v>37</v>
      </c>
      <c r="Q135" s="4" t="s">
        <v>39</v>
      </c>
      <c r="R135" s="4" t="s">
        <v>37</v>
      </c>
      <c r="S135" s="4" t="s">
        <v>38</v>
      </c>
      <c r="T135" s="4" t="s">
        <v>38</v>
      </c>
      <c r="U135" s="4" t="s">
        <v>37</v>
      </c>
      <c r="V135" s="4" t="s">
        <v>37</v>
      </c>
      <c r="W135" s="4" t="s">
        <v>37</v>
      </c>
      <c r="X135" s="4" t="s">
        <v>38</v>
      </c>
      <c r="Y135" s="4" t="s">
        <v>37</v>
      </c>
      <c r="Z135" s="4" t="s">
        <v>37</v>
      </c>
      <c r="AA135" s="4" t="s">
        <v>38</v>
      </c>
      <c r="AB135" s="4" t="s">
        <v>32</v>
      </c>
      <c r="AC135" s="4" t="s">
        <v>52</v>
      </c>
      <c r="AF135" s="7">
        <f>Table13[[#This Row],[Completion time]]-Table13[[#This Row],[Start time]]</f>
        <v>3.8541666654055007E-3</v>
      </c>
      <c r="AG135" s="8">
        <f>2026-Table13[[#This Row],[What is your year of birth? ]]</f>
        <v>39</v>
      </c>
      <c r="AH135">
        <f>2026-Table13[[#This Row],[Please indicate the year you graduated from the Faculty of Medicine]]</f>
        <v>24</v>
      </c>
      <c r="AI135">
        <f t="shared" si="33"/>
        <v>0</v>
      </c>
      <c r="AJ135">
        <f t="shared" si="34"/>
        <v>0</v>
      </c>
      <c r="AK135">
        <f t="shared" si="35"/>
        <v>0</v>
      </c>
      <c r="AL135">
        <f t="shared" si="36"/>
        <v>0</v>
      </c>
      <c r="AM135">
        <f t="shared" si="37"/>
        <v>1</v>
      </c>
      <c r="AN135">
        <f t="shared" si="38"/>
        <v>0</v>
      </c>
      <c r="AO135">
        <f t="shared" si="39"/>
        <v>1</v>
      </c>
      <c r="AP135">
        <f t="shared" si="40"/>
        <v>1</v>
      </c>
      <c r="AQ135">
        <f t="shared" si="41"/>
        <v>1</v>
      </c>
      <c r="AR135">
        <f t="shared" si="42"/>
        <v>0</v>
      </c>
      <c r="AS135">
        <f t="shared" si="43"/>
        <v>0</v>
      </c>
      <c r="AT135">
        <f t="shared" si="44"/>
        <v>1</v>
      </c>
      <c r="AU135">
        <f t="shared" si="45"/>
        <v>0</v>
      </c>
      <c r="AV135">
        <f t="shared" si="46"/>
        <v>0</v>
      </c>
      <c r="AW135">
        <f t="shared" si="47"/>
        <v>1</v>
      </c>
      <c r="AX135">
        <f t="shared" si="48"/>
        <v>6</v>
      </c>
      <c r="AY135">
        <f>IF(Table13[[#This Row],[Please choose your sex]]="Male",0,1)</f>
        <v>1</v>
      </c>
      <c r="AZ135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35">
        <f>IF(Table13[[#This Row],[Do you hold a subspecialty qualification (degree / certificate) in Reproductive Endocrinology and Infertility?
]]="No",0,1)</f>
        <v>0</v>
      </c>
      <c r="BB135">
        <f>IF(Table13[[#This Row],[Do you provide clinical care for the management of infertility?]]="No",0,1)</f>
        <v>1</v>
      </c>
      <c r="BC135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35">
        <f>IF(Table13[[#This Row],[Do you have access to evidence-based clinical guidelines at your workplace?]]="No",0,1)</f>
        <v>0</v>
      </c>
      <c r="BE135">
        <f>IF(OR(Table13[[#This Row],[What is your practice setting? (Select all that apply.)]]="University hospital ;",Table13[[#This Row],[What is your practice setting? (Select all that apply.)]]="Public hospital ;"),1,0)</f>
        <v>1</v>
      </c>
      <c r="BF135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36" spans="1:58" ht="16" x14ac:dyDescent="0.2">
      <c r="A136" s="4">
        <v>127</v>
      </c>
      <c r="B136" s="5">
        <v>46198.922048611108</v>
      </c>
      <c r="C136" s="5">
        <v>46198.925300925926</v>
      </c>
      <c r="D136" s="4" t="s">
        <v>29</v>
      </c>
      <c r="E136" s="6">
        <v>1992</v>
      </c>
      <c r="F136" s="4" t="s">
        <v>44</v>
      </c>
      <c r="G136" s="6">
        <v>2018</v>
      </c>
      <c r="H136" s="9" t="s">
        <v>139</v>
      </c>
      <c r="I136" s="4" t="s">
        <v>32</v>
      </c>
      <c r="J136" s="4" t="s">
        <v>33</v>
      </c>
      <c r="K136" s="4" t="s">
        <v>34</v>
      </c>
      <c r="L136" s="4" t="s">
        <v>43</v>
      </c>
      <c r="M136" s="4" t="s">
        <v>38</v>
      </c>
      <c r="N136" s="4" t="s">
        <v>36</v>
      </c>
      <c r="O136" s="4" t="s">
        <v>36</v>
      </c>
      <c r="P136" s="4" t="s">
        <v>38</v>
      </c>
      <c r="Q136" s="4" t="s">
        <v>39</v>
      </c>
      <c r="R136" s="4" t="s">
        <v>38</v>
      </c>
      <c r="S136" s="4" t="s">
        <v>38</v>
      </c>
      <c r="T136" s="4" t="s">
        <v>36</v>
      </c>
      <c r="U136" s="4" t="s">
        <v>39</v>
      </c>
      <c r="V136" s="4" t="s">
        <v>38</v>
      </c>
      <c r="W136" s="4" t="s">
        <v>38</v>
      </c>
      <c r="X136" s="4" t="s">
        <v>38</v>
      </c>
      <c r="Y136" s="4" t="s">
        <v>37</v>
      </c>
      <c r="Z136" s="4" t="s">
        <v>37</v>
      </c>
      <c r="AA136" s="4" t="s">
        <v>36</v>
      </c>
      <c r="AB136" s="4" t="s">
        <v>33</v>
      </c>
      <c r="AC136" s="4" t="s">
        <v>40</v>
      </c>
      <c r="AF136" s="7">
        <f>Table13[[#This Row],[Completion time]]-Table13[[#This Row],[Start time]]</f>
        <v>3.2523148183827288E-3</v>
      </c>
      <c r="AG136" s="8">
        <f>2026-Table13[[#This Row],[What is your year of birth? ]]</f>
        <v>34</v>
      </c>
      <c r="AH136">
        <f>2026-Table13[[#This Row],[Please indicate the year you graduated from the Faculty of Medicine]]</f>
        <v>8</v>
      </c>
      <c r="AI136">
        <f t="shared" si="33"/>
        <v>1</v>
      </c>
      <c r="AJ136">
        <f t="shared" si="34"/>
        <v>0</v>
      </c>
      <c r="AK136">
        <f t="shared" si="35"/>
        <v>0</v>
      </c>
      <c r="AL136">
        <f t="shared" si="36"/>
        <v>1</v>
      </c>
      <c r="AM136">
        <f t="shared" si="37"/>
        <v>1</v>
      </c>
      <c r="AN136">
        <f t="shared" si="38"/>
        <v>1</v>
      </c>
      <c r="AO136">
        <f t="shared" si="39"/>
        <v>1</v>
      </c>
      <c r="AP136">
        <f t="shared" si="40"/>
        <v>0</v>
      </c>
      <c r="AQ136">
        <f t="shared" si="41"/>
        <v>1</v>
      </c>
      <c r="AR136">
        <f t="shared" si="42"/>
        <v>1</v>
      </c>
      <c r="AS136">
        <f t="shared" si="43"/>
        <v>1</v>
      </c>
      <c r="AT136">
        <f t="shared" si="44"/>
        <v>1</v>
      </c>
      <c r="AU136">
        <f t="shared" si="45"/>
        <v>0</v>
      </c>
      <c r="AV136">
        <f t="shared" si="46"/>
        <v>0</v>
      </c>
      <c r="AW136">
        <f t="shared" si="47"/>
        <v>0</v>
      </c>
      <c r="AX136">
        <f t="shared" si="48"/>
        <v>9</v>
      </c>
      <c r="AY136">
        <f>IF(Table13[[#This Row],[Please choose your sex]]="Male",0,1)</f>
        <v>1</v>
      </c>
      <c r="AZ136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36">
        <f>IF(Table13[[#This Row],[Do you hold a subspecialty qualification (degree / certificate) in Reproductive Endocrinology and Infertility?
]]="No",0,1)</f>
        <v>0</v>
      </c>
      <c r="BB136">
        <f>IF(Table13[[#This Row],[Do you provide clinical care for the management of infertility?]]="No",0,1)</f>
        <v>1</v>
      </c>
      <c r="BC136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36">
        <f>IF(Table13[[#This Row],[Do you have access to evidence-based clinical guidelines at your workplace?]]="No",0,1)</f>
        <v>1</v>
      </c>
      <c r="BE136">
        <f>IF(OR(Table13[[#This Row],[What is your practice setting? (Select all that apply.)]]="University hospital ;",Table13[[#This Row],[What is your practice setting? (Select all that apply.)]]="Public hospital ;"),1,0)</f>
        <v>1</v>
      </c>
      <c r="BF136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37" spans="1:58" ht="16" x14ac:dyDescent="0.2">
      <c r="A137" s="4">
        <v>128</v>
      </c>
      <c r="B137" s="5">
        <v>46198.921041666668</v>
      </c>
      <c r="C137" s="5">
        <v>46198.925370370373</v>
      </c>
      <c r="D137" s="4" t="s">
        <v>29</v>
      </c>
      <c r="E137" s="6">
        <v>1991</v>
      </c>
      <c r="F137" s="4" t="s">
        <v>30</v>
      </c>
      <c r="G137" s="6">
        <v>1991</v>
      </c>
      <c r="H137" s="4" t="s">
        <v>50</v>
      </c>
      <c r="I137" s="4" t="s">
        <v>32</v>
      </c>
      <c r="J137" s="4" t="s">
        <v>33</v>
      </c>
      <c r="K137" s="4" t="s">
        <v>34</v>
      </c>
      <c r="L137" s="4" t="s">
        <v>76</v>
      </c>
      <c r="M137" s="4" t="s">
        <v>36</v>
      </c>
      <c r="N137" s="4" t="s">
        <v>36</v>
      </c>
      <c r="O137" s="4" t="s">
        <v>36</v>
      </c>
      <c r="P137" s="4" t="s">
        <v>37</v>
      </c>
      <c r="Q137" s="4" t="s">
        <v>39</v>
      </c>
      <c r="R137" s="4" t="s">
        <v>36</v>
      </c>
      <c r="S137" s="4" t="s">
        <v>36</v>
      </c>
      <c r="T137" s="4" t="s">
        <v>38</v>
      </c>
      <c r="U137" s="4" t="s">
        <v>39</v>
      </c>
      <c r="V137" s="4" t="s">
        <v>36</v>
      </c>
      <c r="W137" s="4" t="s">
        <v>36</v>
      </c>
      <c r="X137" s="4" t="s">
        <v>36</v>
      </c>
      <c r="Y137" s="4" t="s">
        <v>36</v>
      </c>
      <c r="Z137" s="4" t="s">
        <v>38</v>
      </c>
      <c r="AA137" s="4" t="s">
        <v>38</v>
      </c>
      <c r="AB137" s="4" t="s">
        <v>32</v>
      </c>
      <c r="AC137" s="4" t="s">
        <v>40</v>
      </c>
      <c r="AF137" s="7">
        <f>Table13[[#This Row],[Completion time]]-Table13[[#This Row],[Start time]]</f>
        <v>4.3287037042318843E-3</v>
      </c>
      <c r="AG137" s="8">
        <f>2026-Table13[[#This Row],[What is your year of birth? ]]</f>
        <v>35</v>
      </c>
      <c r="AH137">
        <f>2026-Table13[[#This Row],[Please indicate the year you graduated from the Faculty of Medicine]]</f>
        <v>35</v>
      </c>
      <c r="AI137">
        <f t="shared" si="33"/>
        <v>0</v>
      </c>
      <c r="AJ137">
        <f t="shared" si="34"/>
        <v>0</v>
      </c>
      <c r="AK137">
        <f t="shared" si="35"/>
        <v>0</v>
      </c>
      <c r="AL137">
        <f t="shared" si="36"/>
        <v>0</v>
      </c>
      <c r="AM137">
        <f t="shared" si="37"/>
        <v>1</v>
      </c>
      <c r="AN137">
        <f t="shared" si="38"/>
        <v>0</v>
      </c>
      <c r="AO137">
        <f t="shared" si="39"/>
        <v>0</v>
      </c>
      <c r="AP137">
        <f t="shared" si="40"/>
        <v>1</v>
      </c>
      <c r="AQ137">
        <f t="shared" si="41"/>
        <v>1</v>
      </c>
      <c r="AR137">
        <f t="shared" si="42"/>
        <v>0</v>
      </c>
      <c r="AS137">
        <f t="shared" si="43"/>
        <v>0</v>
      </c>
      <c r="AT137">
        <f t="shared" si="44"/>
        <v>0</v>
      </c>
      <c r="AU137">
        <f t="shared" si="45"/>
        <v>0</v>
      </c>
      <c r="AV137">
        <f t="shared" si="46"/>
        <v>1</v>
      </c>
      <c r="AW137">
        <f t="shared" si="47"/>
        <v>1</v>
      </c>
      <c r="AX137">
        <f t="shared" si="48"/>
        <v>5</v>
      </c>
      <c r="AY137">
        <f>IF(Table13[[#This Row],[Please choose your sex]]="Male",0,1)</f>
        <v>0</v>
      </c>
      <c r="AZ137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37">
        <f>IF(Table13[[#This Row],[Do you hold a subspecialty qualification (degree / certificate) in Reproductive Endocrinology and Infertility?
]]="No",0,1)</f>
        <v>0</v>
      </c>
      <c r="BB137">
        <f>IF(Table13[[#This Row],[Do you provide clinical care for the management of infertility?]]="No",0,1)</f>
        <v>1</v>
      </c>
      <c r="BC137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37">
        <f>IF(Table13[[#This Row],[Do you have access to evidence-based clinical guidelines at your workplace?]]="No",0,1)</f>
        <v>0</v>
      </c>
      <c r="BE137">
        <f>IF(OR(Table13[[#This Row],[What is your practice setting? (Select all that apply.)]]="University hospital ;",Table13[[#This Row],[What is your practice setting? (Select all that apply.)]]="Public hospital ;"),1,0)</f>
        <v>0</v>
      </c>
      <c r="BF137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38" spans="1:58" ht="16" x14ac:dyDescent="0.2">
      <c r="A138" s="4">
        <v>131</v>
      </c>
      <c r="B138" s="5">
        <v>46199.465428240743</v>
      </c>
      <c r="C138" s="5">
        <v>46199.471319444441</v>
      </c>
      <c r="D138" s="4" t="s">
        <v>29</v>
      </c>
      <c r="E138" s="6">
        <v>1985</v>
      </c>
      <c r="F138" s="4" t="s">
        <v>44</v>
      </c>
      <c r="G138" s="6">
        <v>2008</v>
      </c>
      <c r="H138" s="4" t="s">
        <v>75</v>
      </c>
      <c r="I138" s="4" t="s">
        <v>32</v>
      </c>
      <c r="J138" s="4" t="s">
        <v>33</v>
      </c>
      <c r="K138" s="4" t="s">
        <v>66</v>
      </c>
      <c r="L138" s="4" t="s">
        <v>70</v>
      </c>
      <c r="M138" s="4" t="s">
        <v>38</v>
      </c>
      <c r="N138" s="4" t="s">
        <v>38</v>
      </c>
      <c r="O138" s="4" t="s">
        <v>36</v>
      </c>
      <c r="P138" s="4" t="s">
        <v>37</v>
      </c>
      <c r="Q138" s="4" t="s">
        <v>37</v>
      </c>
      <c r="R138" s="4" t="s">
        <v>36</v>
      </c>
      <c r="S138" s="4" t="s">
        <v>38</v>
      </c>
      <c r="T138" s="4" t="s">
        <v>37</v>
      </c>
      <c r="U138" s="4" t="s">
        <v>37</v>
      </c>
      <c r="V138" s="4" t="s">
        <v>36</v>
      </c>
      <c r="W138" s="4" t="s">
        <v>36</v>
      </c>
      <c r="X138" s="4" t="s">
        <v>38</v>
      </c>
      <c r="Y138" s="4" t="s">
        <v>36</v>
      </c>
      <c r="Z138" s="4" t="s">
        <v>38</v>
      </c>
      <c r="AA138" s="4" t="s">
        <v>38</v>
      </c>
      <c r="AB138" s="4" t="s">
        <v>32</v>
      </c>
      <c r="AC138" s="4" t="s">
        <v>90</v>
      </c>
      <c r="AF138" s="7">
        <f>Table13[[#This Row],[Completion time]]-Table13[[#This Row],[Start time]]</f>
        <v>5.8912036984111182E-3</v>
      </c>
      <c r="AG138" s="8">
        <f>2026-Table13[[#This Row],[What is your year of birth? ]]</f>
        <v>41</v>
      </c>
      <c r="AH138">
        <f>2026-Table13[[#This Row],[Please indicate the year you graduated from the Faculty of Medicine]]</f>
        <v>18</v>
      </c>
      <c r="AI138">
        <f t="shared" si="33"/>
        <v>1</v>
      </c>
      <c r="AJ138">
        <f t="shared" si="34"/>
        <v>1</v>
      </c>
      <c r="AK138">
        <f t="shared" si="35"/>
        <v>0</v>
      </c>
      <c r="AL138">
        <f t="shared" si="36"/>
        <v>0</v>
      </c>
      <c r="AM138">
        <f t="shared" si="37"/>
        <v>1</v>
      </c>
      <c r="AN138">
        <f t="shared" si="38"/>
        <v>0</v>
      </c>
      <c r="AO138">
        <f t="shared" si="39"/>
        <v>1</v>
      </c>
      <c r="AP138">
        <f t="shared" si="40"/>
        <v>0</v>
      </c>
      <c r="AQ138">
        <f t="shared" si="41"/>
        <v>1</v>
      </c>
      <c r="AR138">
        <f t="shared" si="42"/>
        <v>0</v>
      </c>
      <c r="AS138">
        <f t="shared" si="43"/>
        <v>0</v>
      </c>
      <c r="AT138">
        <f t="shared" si="44"/>
        <v>1</v>
      </c>
      <c r="AU138">
        <f t="shared" si="45"/>
        <v>0</v>
      </c>
      <c r="AV138">
        <f t="shared" si="46"/>
        <v>1</v>
      </c>
      <c r="AW138">
        <f t="shared" si="47"/>
        <v>1</v>
      </c>
      <c r="AX138">
        <f t="shared" si="48"/>
        <v>8</v>
      </c>
      <c r="AY138">
        <f>IF(Table13[[#This Row],[Please choose your sex]]="Male",0,1)</f>
        <v>1</v>
      </c>
      <c r="AZ138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38">
        <f>IF(Table13[[#This Row],[Do you hold a subspecialty qualification (degree / certificate) in Reproductive Endocrinology and Infertility?
]]="No",0,1)</f>
        <v>0</v>
      </c>
      <c r="BB138">
        <f>IF(Table13[[#This Row],[Do you provide clinical care for the management of infertility?]]="No",0,1)</f>
        <v>1</v>
      </c>
      <c r="BC138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38">
        <f>IF(Table13[[#This Row],[Do you have access to evidence-based clinical guidelines at your workplace?]]="No",0,1)</f>
        <v>0</v>
      </c>
      <c r="BE138">
        <f>IF(OR(Table13[[#This Row],[What is your practice setting? (Select all that apply.)]]="University hospital ;",Table13[[#This Row],[What is your practice setting? (Select all that apply.)]]="Public hospital ;"),1,0)</f>
        <v>1</v>
      </c>
      <c r="BF138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39" spans="1:58" ht="16" x14ac:dyDescent="0.2">
      <c r="A139" s="4">
        <v>132</v>
      </c>
      <c r="B139" s="5">
        <v>46199.51152777778</v>
      </c>
      <c r="C139" s="5">
        <v>46199.515300925923</v>
      </c>
      <c r="D139" s="4" t="s">
        <v>29</v>
      </c>
      <c r="E139" s="6">
        <v>1992</v>
      </c>
      <c r="F139" s="4" t="s">
        <v>44</v>
      </c>
      <c r="G139" s="6">
        <v>2015</v>
      </c>
      <c r="H139" s="4" t="s">
        <v>89</v>
      </c>
      <c r="I139" s="4" t="s">
        <v>32</v>
      </c>
      <c r="J139" s="4" t="s">
        <v>33</v>
      </c>
      <c r="K139" s="4" t="s">
        <v>34</v>
      </c>
      <c r="L139" s="4" t="s">
        <v>70</v>
      </c>
      <c r="M139" s="4" t="s">
        <v>37</v>
      </c>
      <c r="N139" s="4" t="s">
        <v>36</v>
      </c>
      <c r="O139" s="4" t="s">
        <v>36</v>
      </c>
      <c r="P139" s="4" t="s">
        <v>37</v>
      </c>
      <c r="Q139" s="4" t="s">
        <v>37</v>
      </c>
      <c r="R139" s="4" t="s">
        <v>36</v>
      </c>
      <c r="S139" s="4" t="s">
        <v>36</v>
      </c>
      <c r="T139" s="4" t="s">
        <v>37</v>
      </c>
      <c r="U139" s="4" t="s">
        <v>37</v>
      </c>
      <c r="V139" s="4" t="s">
        <v>36</v>
      </c>
      <c r="W139" s="4" t="s">
        <v>36</v>
      </c>
      <c r="X139" s="4" t="s">
        <v>36</v>
      </c>
      <c r="Y139" s="4" t="s">
        <v>37</v>
      </c>
      <c r="Z139" s="4" t="s">
        <v>37</v>
      </c>
      <c r="AA139" s="4" t="s">
        <v>36</v>
      </c>
      <c r="AB139" s="4" t="s">
        <v>32</v>
      </c>
      <c r="AC139" s="4" t="s">
        <v>40</v>
      </c>
      <c r="AF139" s="7">
        <f>Table13[[#This Row],[Completion time]]-Table13[[#This Row],[Start time]]</f>
        <v>3.7731481424998492E-3</v>
      </c>
      <c r="AG139" s="8">
        <f>2026-Table13[[#This Row],[What is your year of birth? ]]</f>
        <v>34</v>
      </c>
      <c r="AH139">
        <f>2026-Table13[[#This Row],[Please indicate the year you graduated from the Faculty of Medicine]]</f>
        <v>11</v>
      </c>
      <c r="AI139">
        <f t="shared" si="33"/>
        <v>0</v>
      </c>
      <c r="AJ139">
        <f t="shared" si="34"/>
        <v>0</v>
      </c>
      <c r="AK139">
        <f t="shared" si="35"/>
        <v>0</v>
      </c>
      <c r="AL139">
        <f t="shared" si="36"/>
        <v>0</v>
      </c>
      <c r="AM139">
        <f t="shared" si="37"/>
        <v>1</v>
      </c>
      <c r="AN139">
        <f t="shared" si="38"/>
        <v>0</v>
      </c>
      <c r="AO139">
        <f t="shared" si="39"/>
        <v>0</v>
      </c>
      <c r="AP139">
        <f t="shared" si="40"/>
        <v>0</v>
      </c>
      <c r="AQ139">
        <f t="shared" si="41"/>
        <v>1</v>
      </c>
      <c r="AR139">
        <f t="shared" si="42"/>
        <v>0</v>
      </c>
      <c r="AS139">
        <f t="shared" si="43"/>
        <v>0</v>
      </c>
      <c r="AT139">
        <f t="shared" si="44"/>
        <v>0</v>
      </c>
      <c r="AU139">
        <f t="shared" si="45"/>
        <v>0</v>
      </c>
      <c r="AV139">
        <f t="shared" si="46"/>
        <v>0</v>
      </c>
      <c r="AW139">
        <f t="shared" si="47"/>
        <v>0</v>
      </c>
      <c r="AX139">
        <f t="shared" si="48"/>
        <v>2</v>
      </c>
      <c r="AY139">
        <f>IF(Table13[[#This Row],[Please choose your sex]]="Male",0,1)</f>
        <v>1</v>
      </c>
      <c r="AZ139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39">
        <f>IF(Table13[[#This Row],[Do you hold a subspecialty qualification (degree / certificate) in Reproductive Endocrinology and Infertility?
]]="No",0,1)</f>
        <v>0</v>
      </c>
      <c r="BB139">
        <f>IF(Table13[[#This Row],[Do you provide clinical care for the management of infertility?]]="No",0,1)</f>
        <v>1</v>
      </c>
      <c r="BC139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39">
        <f>IF(Table13[[#This Row],[Do you have access to evidence-based clinical guidelines at your workplace?]]="No",0,1)</f>
        <v>0</v>
      </c>
      <c r="BE139">
        <f>IF(OR(Table13[[#This Row],[What is your practice setting? (Select all that apply.)]]="University hospital ;",Table13[[#This Row],[What is your practice setting? (Select all that apply.)]]="Public hospital ;"),1,0)</f>
        <v>1</v>
      </c>
      <c r="BF139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40" spans="1:58" ht="16" x14ac:dyDescent="0.2">
      <c r="A140" s="4">
        <v>134</v>
      </c>
      <c r="B140" s="5">
        <v>46199.66646990741</v>
      </c>
      <c r="C140" s="5">
        <v>46199.672997685186</v>
      </c>
      <c r="D140" s="4" t="s">
        <v>29</v>
      </c>
      <c r="E140" s="6">
        <v>1991</v>
      </c>
      <c r="F140" s="4" t="s">
        <v>44</v>
      </c>
      <c r="G140" s="6">
        <v>2015</v>
      </c>
      <c r="H140" s="4" t="s">
        <v>50</v>
      </c>
      <c r="I140" s="4" t="s">
        <v>32</v>
      </c>
      <c r="J140" s="4" t="s">
        <v>33</v>
      </c>
      <c r="K140" s="4" t="s">
        <v>66</v>
      </c>
      <c r="L140" s="4" t="s">
        <v>109</v>
      </c>
      <c r="M140" s="4" t="s">
        <v>47</v>
      </c>
      <c r="N140" s="4" t="s">
        <v>47</v>
      </c>
      <c r="O140" s="4" t="s">
        <v>36</v>
      </c>
      <c r="P140" s="4" t="s">
        <v>39</v>
      </c>
      <c r="Q140" s="4" t="s">
        <v>39</v>
      </c>
      <c r="R140" s="4" t="s">
        <v>38</v>
      </c>
      <c r="S140" s="4" t="s">
        <v>38</v>
      </c>
      <c r="T140" s="4" t="s">
        <v>37</v>
      </c>
      <c r="U140" s="4" t="s">
        <v>39</v>
      </c>
      <c r="V140" s="4" t="s">
        <v>47</v>
      </c>
      <c r="W140" s="4" t="s">
        <v>36</v>
      </c>
      <c r="X140" s="4" t="s">
        <v>47</v>
      </c>
      <c r="Y140" s="4" t="s">
        <v>39</v>
      </c>
      <c r="Z140" s="4" t="s">
        <v>39</v>
      </c>
      <c r="AA140" s="4" t="s">
        <v>37</v>
      </c>
      <c r="AB140" s="4" t="s">
        <v>32</v>
      </c>
      <c r="AC140" s="4" t="s">
        <v>82</v>
      </c>
      <c r="AF140" s="7">
        <f>Table13[[#This Row],[Completion time]]-Table13[[#This Row],[Start time]]</f>
        <v>6.5277777757728472E-3</v>
      </c>
      <c r="AG140" s="8">
        <f>2026-Table13[[#This Row],[What is your year of birth? ]]</f>
        <v>35</v>
      </c>
      <c r="AH140">
        <f>2026-Table13[[#This Row],[Please indicate the year you graduated from the Faculty of Medicine]]</f>
        <v>11</v>
      </c>
      <c r="AI140">
        <f t="shared" si="33"/>
        <v>1</v>
      </c>
      <c r="AJ140">
        <f t="shared" si="34"/>
        <v>1</v>
      </c>
      <c r="AK140">
        <f t="shared" si="35"/>
        <v>0</v>
      </c>
      <c r="AL140">
        <f t="shared" si="36"/>
        <v>0</v>
      </c>
      <c r="AM140">
        <f t="shared" si="37"/>
        <v>1</v>
      </c>
      <c r="AN140">
        <f t="shared" si="38"/>
        <v>1</v>
      </c>
      <c r="AO140">
        <f t="shared" si="39"/>
        <v>1</v>
      </c>
      <c r="AP140">
        <f t="shared" si="40"/>
        <v>0</v>
      </c>
      <c r="AQ140">
        <f t="shared" si="41"/>
        <v>1</v>
      </c>
      <c r="AR140">
        <f t="shared" si="42"/>
        <v>1</v>
      </c>
      <c r="AS140">
        <f t="shared" si="43"/>
        <v>0</v>
      </c>
      <c r="AT140">
        <f t="shared" si="44"/>
        <v>1</v>
      </c>
      <c r="AU140">
        <f t="shared" si="45"/>
        <v>0</v>
      </c>
      <c r="AV140">
        <f t="shared" si="46"/>
        <v>0</v>
      </c>
      <c r="AW140">
        <f t="shared" si="47"/>
        <v>0</v>
      </c>
      <c r="AX140">
        <f t="shared" si="48"/>
        <v>8</v>
      </c>
      <c r="AY140">
        <f>IF(Table13[[#This Row],[Please choose your sex]]="Male",0,1)</f>
        <v>1</v>
      </c>
      <c r="AZ140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40">
        <f>IF(Table13[[#This Row],[Do you hold a subspecialty qualification (degree / certificate) in Reproductive Endocrinology and Infertility?
]]="No",0,1)</f>
        <v>0</v>
      </c>
      <c r="BB140">
        <f>IF(Table13[[#This Row],[Do you provide clinical care for the management of infertility?]]="No",0,1)</f>
        <v>1</v>
      </c>
      <c r="BC140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40">
        <f>IF(Table13[[#This Row],[Do you have access to evidence-based clinical guidelines at your workplace?]]="No",0,1)</f>
        <v>0</v>
      </c>
      <c r="BE140">
        <f>IF(OR(Table13[[#This Row],[What is your practice setting? (Select all that apply.)]]="University hospital ;",Table13[[#This Row],[What is your practice setting? (Select all that apply.)]]="Public hospital ;"),1,0)</f>
        <v>0</v>
      </c>
      <c r="BF140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41" spans="1:58" ht="16" x14ac:dyDescent="0.2">
      <c r="A141" s="4">
        <v>137</v>
      </c>
      <c r="B141" s="5">
        <v>46199.888148148151</v>
      </c>
      <c r="C141" s="5">
        <v>46199.891111111108</v>
      </c>
      <c r="D141" s="4" t="s">
        <v>29</v>
      </c>
      <c r="E141" s="6">
        <v>2009</v>
      </c>
      <c r="F141" s="4" t="s">
        <v>44</v>
      </c>
      <c r="G141" s="6">
        <v>2009</v>
      </c>
      <c r="H141" s="4" t="s">
        <v>50</v>
      </c>
      <c r="I141" s="4" t="s">
        <v>33</v>
      </c>
      <c r="J141" s="4" t="s">
        <v>33</v>
      </c>
      <c r="K141" s="4" t="s">
        <v>42</v>
      </c>
      <c r="L141" s="4" t="s">
        <v>62</v>
      </c>
      <c r="M141" s="4" t="s">
        <v>39</v>
      </c>
      <c r="N141" s="4" t="s">
        <v>47</v>
      </c>
      <c r="O141" s="4" t="s">
        <v>39</v>
      </c>
      <c r="P141" s="4" t="s">
        <v>37</v>
      </c>
      <c r="Q141" s="4" t="s">
        <v>39</v>
      </c>
      <c r="R141" s="4" t="s">
        <v>36</v>
      </c>
      <c r="S141" s="4" t="s">
        <v>36</v>
      </c>
      <c r="T141" s="4" t="s">
        <v>37</v>
      </c>
      <c r="U141" s="4" t="s">
        <v>39</v>
      </c>
      <c r="V141" s="4" t="s">
        <v>37</v>
      </c>
      <c r="W141" s="4" t="s">
        <v>37</v>
      </c>
      <c r="X141" s="4" t="s">
        <v>37</v>
      </c>
      <c r="Y141" s="4" t="s">
        <v>36</v>
      </c>
      <c r="Z141" s="4" t="s">
        <v>39</v>
      </c>
      <c r="AA141" s="4" t="s">
        <v>39</v>
      </c>
      <c r="AB141" s="4" t="s">
        <v>33</v>
      </c>
      <c r="AC141" s="4" t="s">
        <v>40</v>
      </c>
      <c r="AF141" s="7">
        <f>Table13[[#This Row],[Completion time]]-Table13[[#This Row],[Start time]]</f>
        <v>2.9629629570990801E-3</v>
      </c>
      <c r="AG141" s="8">
        <f>2026-Table13[[#This Row],[What is your year of birth? ]]</f>
        <v>17</v>
      </c>
      <c r="AH141">
        <f>2026-Table13[[#This Row],[Please indicate the year you graduated from the Faculty of Medicine]]</f>
        <v>17</v>
      </c>
      <c r="AI141">
        <f t="shared" si="33"/>
        <v>0</v>
      </c>
      <c r="AJ141">
        <f t="shared" si="34"/>
        <v>1</v>
      </c>
      <c r="AK141">
        <f t="shared" si="35"/>
        <v>0</v>
      </c>
      <c r="AL141">
        <f t="shared" si="36"/>
        <v>0</v>
      </c>
      <c r="AM141">
        <f t="shared" si="37"/>
        <v>1</v>
      </c>
      <c r="AN141">
        <f t="shared" si="38"/>
        <v>0</v>
      </c>
      <c r="AO141">
        <f t="shared" si="39"/>
        <v>0</v>
      </c>
      <c r="AP141">
        <f t="shared" si="40"/>
        <v>0</v>
      </c>
      <c r="AQ141">
        <f t="shared" si="41"/>
        <v>1</v>
      </c>
      <c r="AR141">
        <f t="shared" si="42"/>
        <v>0</v>
      </c>
      <c r="AS141">
        <f t="shared" si="43"/>
        <v>0</v>
      </c>
      <c r="AT141">
        <f t="shared" si="44"/>
        <v>0</v>
      </c>
      <c r="AU141">
        <f t="shared" si="45"/>
        <v>0</v>
      </c>
      <c r="AV141">
        <f t="shared" si="46"/>
        <v>0</v>
      </c>
      <c r="AW141">
        <f t="shared" si="47"/>
        <v>0</v>
      </c>
      <c r="AX141">
        <f t="shared" si="48"/>
        <v>3</v>
      </c>
      <c r="AY141">
        <f>IF(Table13[[#This Row],[Please choose your sex]]="Male",0,1)</f>
        <v>1</v>
      </c>
      <c r="AZ141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41">
        <f>IF(Table13[[#This Row],[Do you hold a subspecialty qualification (degree / certificate) in Reproductive Endocrinology and Infertility?
]]="No",0,1)</f>
        <v>1</v>
      </c>
      <c r="BB141">
        <f>IF(Table13[[#This Row],[Do you provide clinical care for the management of infertility?]]="No",0,1)</f>
        <v>1</v>
      </c>
      <c r="BC141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41">
        <f>IF(Table13[[#This Row],[Do you have access to evidence-based clinical guidelines at your workplace?]]="No",0,1)</f>
        <v>1</v>
      </c>
      <c r="BE141">
        <f>IF(OR(Table13[[#This Row],[What is your practice setting? (Select all that apply.)]]="University hospital ;",Table13[[#This Row],[What is your practice setting? (Select all that apply.)]]="Public hospital ;"),1,0)</f>
        <v>0</v>
      </c>
      <c r="BF141">
        <f>IF(OR(Table13[[#This Row],[What is your practice setting? (Select all that apply.)]]="Private clinic;",Table13[[#This Row],[What is your practice setting? (Select all that apply.)]]="Private hospital/center ;"),1,0)</f>
        <v>1</v>
      </c>
    </row>
    <row r="142" spans="1:58" ht="16" x14ac:dyDescent="0.2">
      <c r="A142" s="4">
        <v>138</v>
      </c>
      <c r="B142" s="5">
        <v>46200.499548611115</v>
      </c>
      <c r="C142" s="5">
        <v>46200.505266203705</v>
      </c>
      <c r="D142" s="4" t="s">
        <v>29</v>
      </c>
      <c r="E142" s="6">
        <v>1991</v>
      </c>
      <c r="F142" s="4" t="s">
        <v>44</v>
      </c>
      <c r="G142" s="6">
        <v>2014</v>
      </c>
      <c r="H142" s="4" t="s">
        <v>50</v>
      </c>
      <c r="I142" s="4" t="s">
        <v>32</v>
      </c>
      <c r="J142" s="4" t="s">
        <v>33</v>
      </c>
      <c r="K142" s="4" t="s">
        <v>34</v>
      </c>
      <c r="L142" s="4" t="s">
        <v>70</v>
      </c>
      <c r="M142" s="4" t="s">
        <v>37</v>
      </c>
      <c r="N142" s="4" t="s">
        <v>36</v>
      </c>
      <c r="O142" s="4" t="s">
        <v>37</v>
      </c>
      <c r="P142" s="4" t="s">
        <v>37</v>
      </c>
      <c r="Q142" s="4" t="s">
        <v>37</v>
      </c>
      <c r="R142" s="4" t="s">
        <v>36</v>
      </c>
      <c r="S142" s="4" t="s">
        <v>38</v>
      </c>
      <c r="T142" s="4" t="s">
        <v>36</v>
      </c>
      <c r="U142" s="4" t="s">
        <v>36</v>
      </c>
      <c r="V142" s="4" t="s">
        <v>37</v>
      </c>
      <c r="W142" s="4" t="s">
        <v>36</v>
      </c>
      <c r="X142" s="4" t="s">
        <v>37</v>
      </c>
      <c r="Y142" s="4" t="s">
        <v>38</v>
      </c>
      <c r="Z142" s="4" t="s">
        <v>38</v>
      </c>
      <c r="AA142" s="4" t="s">
        <v>38</v>
      </c>
      <c r="AB142" s="4" t="s">
        <v>32</v>
      </c>
      <c r="AC142" s="4" t="s">
        <v>40</v>
      </c>
      <c r="AF142" s="7">
        <f>Table13[[#This Row],[Completion time]]-Table13[[#This Row],[Start time]]</f>
        <v>5.7175925903720781E-3</v>
      </c>
      <c r="AG142" s="8">
        <f>2026-Table13[[#This Row],[What is your year of birth? ]]</f>
        <v>35</v>
      </c>
      <c r="AH142">
        <f>2026-Table13[[#This Row],[Please indicate the year you graduated from the Faculty of Medicine]]</f>
        <v>12</v>
      </c>
      <c r="AI142">
        <f t="shared" si="33"/>
        <v>0</v>
      </c>
      <c r="AJ142">
        <f t="shared" si="34"/>
        <v>0</v>
      </c>
      <c r="AK142">
        <f t="shared" si="35"/>
        <v>0</v>
      </c>
      <c r="AL142">
        <f t="shared" si="36"/>
        <v>0</v>
      </c>
      <c r="AM142">
        <f t="shared" si="37"/>
        <v>1</v>
      </c>
      <c r="AN142">
        <f t="shared" si="38"/>
        <v>0</v>
      </c>
      <c r="AO142">
        <f t="shared" si="39"/>
        <v>1</v>
      </c>
      <c r="AP142">
        <f t="shared" si="40"/>
        <v>0</v>
      </c>
      <c r="AQ142">
        <f t="shared" si="41"/>
        <v>0</v>
      </c>
      <c r="AR142">
        <f t="shared" si="42"/>
        <v>0</v>
      </c>
      <c r="AS142">
        <f t="shared" si="43"/>
        <v>0</v>
      </c>
      <c r="AT142">
        <f t="shared" si="44"/>
        <v>0</v>
      </c>
      <c r="AU142">
        <f t="shared" si="45"/>
        <v>1</v>
      </c>
      <c r="AV142">
        <f t="shared" si="46"/>
        <v>1</v>
      </c>
      <c r="AW142">
        <f t="shared" si="47"/>
        <v>1</v>
      </c>
      <c r="AX142">
        <f t="shared" si="48"/>
        <v>5</v>
      </c>
      <c r="AY142">
        <f>IF(Table13[[#This Row],[Please choose your sex]]="Male",0,1)</f>
        <v>1</v>
      </c>
      <c r="AZ142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42">
        <f>IF(Table13[[#This Row],[Do you hold a subspecialty qualification (degree / certificate) in Reproductive Endocrinology and Infertility?
]]="No",0,1)</f>
        <v>0</v>
      </c>
      <c r="BB142">
        <f>IF(Table13[[#This Row],[Do you provide clinical care for the management of infertility?]]="No",0,1)</f>
        <v>1</v>
      </c>
      <c r="BC142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42">
        <f>IF(Table13[[#This Row],[Do you have access to evidence-based clinical guidelines at your workplace?]]="No",0,1)</f>
        <v>0</v>
      </c>
      <c r="BE142">
        <f>IF(OR(Table13[[#This Row],[What is your practice setting? (Select all that apply.)]]="University hospital ;",Table13[[#This Row],[What is your practice setting? (Select all that apply.)]]="Public hospital ;"),1,0)</f>
        <v>1</v>
      </c>
      <c r="BF142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43" spans="1:58" ht="16" x14ac:dyDescent="0.2">
      <c r="A143" s="4">
        <v>139</v>
      </c>
      <c r="B143" s="5">
        <v>46200.776817129627</v>
      </c>
      <c r="C143" s="5">
        <v>46200.782407407409</v>
      </c>
      <c r="D143" s="4" t="s">
        <v>29</v>
      </c>
      <c r="E143" s="6">
        <v>1973</v>
      </c>
      <c r="F143" s="4" t="s">
        <v>44</v>
      </c>
      <c r="G143" s="6">
        <v>1997</v>
      </c>
      <c r="H143" s="4" t="s">
        <v>50</v>
      </c>
      <c r="I143" s="4" t="s">
        <v>32</v>
      </c>
      <c r="J143" s="4" t="s">
        <v>33</v>
      </c>
      <c r="K143" s="4" t="s">
        <v>42</v>
      </c>
      <c r="L143" s="4" t="s">
        <v>81</v>
      </c>
      <c r="M143" s="4" t="s">
        <v>38</v>
      </c>
      <c r="N143" s="4" t="s">
        <v>36</v>
      </c>
      <c r="O143" s="4" t="s">
        <v>36</v>
      </c>
      <c r="P143" s="4" t="s">
        <v>37</v>
      </c>
      <c r="Q143" s="4" t="s">
        <v>37</v>
      </c>
      <c r="R143" s="4" t="s">
        <v>38</v>
      </c>
      <c r="S143" s="4" t="s">
        <v>38</v>
      </c>
      <c r="T143" s="4" t="s">
        <v>38</v>
      </c>
      <c r="U143" s="4" t="s">
        <v>36</v>
      </c>
      <c r="V143" s="4" t="s">
        <v>36</v>
      </c>
      <c r="W143" s="4" t="s">
        <v>36</v>
      </c>
      <c r="X143" s="4" t="s">
        <v>36</v>
      </c>
      <c r="Y143" s="4" t="s">
        <v>37</v>
      </c>
      <c r="Z143" s="4" t="s">
        <v>38</v>
      </c>
      <c r="AA143" s="4" t="s">
        <v>38</v>
      </c>
      <c r="AB143" s="4" t="s">
        <v>33</v>
      </c>
      <c r="AC143" s="4" t="s">
        <v>40</v>
      </c>
      <c r="AF143" s="7">
        <f>Table13[[#This Row],[Completion time]]-Table13[[#This Row],[Start time]]</f>
        <v>5.5902777821756899E-3</v>
      </c>
      <c r="AG143" s="8">
        <f>2026-Table13[[#This Row],[What is your year of birth? ]]</f>
        <v>53</v>
      </c>
      <c r="AH143">
        <f>2026-Table13[[#This Row],[Please indicate the year you graduated from the Faculty of Medicine]]</f>
        <v>29</v>
      </c>
      <c r="AI143">
        <f t="shared" si="33"/>
        <v>1</v>
      </c>
      <c r="AJ143">
        <f t="shared" si="34"/>
        <v>0</v>
      </c>
      <c r="AK143">
        <f t="shared" si="35"/>
        <v>0</v>
      </c>
      <c r="AL143">
        <f t="shared" si="36"/>
        <v>0</v>
      </c>
      <c r="AM143">
        <f t="shared" si="37"/>
        <v>1</v>
      </c>
      <c r="AN143">
        <f t="shared" si="38"/>
        <v>1</v>
      </c>
      <c r="AO143">
        <f t="shared" si="39"/>
        <v>1</v>
      </c>
      <c r="AP143">
        <f t="shared" si="40"/>
        <v>1</v>
      </c>
      <c r="AQ143">
        <f t="shared" si="41"/>
        <v>0</v>
      </c>
      <c r="AR143">
        <f t="shared" si="42"/>
        <v>0</v>
      </c>
      <c r="AS143">
        <f t="shared" si="43"/>
        <v>0</v>
      </c>
      <c r="AT143">
        <f t="shared" si="44"/>
        <v>0</v>
      </c>
      <c r="AU143">
        <f t="shared" si="45"/>
        <v>0</v>
      </c>
      <c r="AV143">
        <f t="shared" si="46"/>
        <v>1</v>
      </c>
      <c r="AW143">
        <f t="shared" si="47"/>
        <v>1</v>
      </c>
      <c r="AX143">
        <f t="shared" si="48"/>
        <v>7</v>
      </c>
      <c r="AY143">
        <f>IF(Table13[[#This Row],[Please choose your sex]]="Male",0,1)</f>
        <v>1</v>
      </c>
      <c r="AZ143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43">
        <f>IF(Table13[[#This Row],[Do you hold a subspecialty qualification (degree / certificate) in Reproductive Endocrinology and Infertility?
]]="No",0,1)</f>
        <v>0</v>
      </c>
      <c r="BB143">
        <f>IF(Table13[[#This Row],[Do you provide clinical care for the management of infertility?]]="No",0,1)</f>
        <v>1</v>
      </c>
      <c r="BC143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43">
        <f>IF(Table13[[#This Row],[Do you have access to evidence-based clinical guidelines at your workplace?]]="No",0,1)</f>
        <v>1</v>
      </c>
      <c r="BE143">
        <f>IF(OR(Table13[[#This Row],[What is your practice setting? (Select all that apply.)]]="University hospital ;",Table13[[#This Row],[What is your practice setting? (Select all that apply.)]]="Public hospital ;"),1,0)</f>
        <v>0</v>
      </c>
      <c r="BF143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44" spans="1:58" ht="16" x14ac:dyDescent="0.2">
      <c r="A144" s="4">
        <v>140</v>
      </c>
      <c r="B144" s="5">
        <v>46200.787789351853</v>
      </c>
      <c r="C144" s="5">
        <v>46200.790462962963</v>
      </c>
      <c r="D144" s="4" t="s">
        <v>29</v>
      </c>
      <c r="E144" s="6">
        <v>1990</v>
      </c>
      <c r="F144" s="4" t="s">
        <v>44</v>
      </c>
      <c r="G144" s="6">
        <v>2014</v>
      </c>
      <c r="H144" s="4" t="s">
        <v>50</v>
      </c>
      <c r="I144" s="4" t="s">
        <v>32</v>
      </c>
      <c r="J144" s="4" t="s">
        <v>33</v>
      </c>
      <c r="K144" s="4" t="s">
        <v>66</v>
      </c>
      <c r="L144" s="4" t="s">
        <v>74</v>
      </c>
      <c r="M144" s="4" t="s">
        <v>47</v>
      </c>
      <c r="N144" s="4" t="s">
        <v>36</v>
      </c>
      <c r="O144" s="4" t="s">
        <v>36</v>
      </c>
      <c r="P144" s="4" t="s">
        <v>39</v>
      </c>
      <c r="Q144" s="4" t="s">
        <v>39</v>
      </c>
      <c r="R144" s="4" t="s">
        <v>47</v>
      </c>
      <c r="S144" s="4" t="s">
        <v>38</v>
      </c>
      <c r="T144" s="4" t="s">
        <v>37</v>
      </c>
      <c r="U144" s="4" t="s">
        <v>39</v>
      </c>
      <c r="V144" s="4" t="s">
        <v>47</v>
      </c>
      <c r="W144" s="4" t="s">
        <v>36</v>
      </c>
      <c r="X144" s="4" t="s">
        <v>36</v>
      </c>
      <c r="Y144" s="4" t="s">
        <v>39</v>
      </c>
      <c r="Z144" s="4" t="s">
        <v>39</v>
      </c>
      <c r="AA144" s="4" t="s">
        <v>47</v>
      </c>
      <c r="AB144" s="4" t="s">
        <v>32</v>
      </c>
      <c r="AC144" s="4" t="s">
        <v>82</v>
      </c>
      <c r="AF144" s="7">
        <f>Table13[[#This Row],[Completion time]]-Table13[[#This Row],[Start time]]</f>
        <v>2.6736111103673466E-3</v>
      </c>
      <c r="AG144" s="8">
        <f>2026-Table13[[#This Row],[What is your year of birth? ]]</f>
        <v>36</v>
      </c>
      <c r="AH144">
        <f>2026-Table13[[#This Row],[Please indicate the year you graduated from the Faculty of Medicine]]</f>
        <v>12</v>
      </c>
      <c r="AI144">
        <f t="shared" si="33"/>
        <v>1</v>
      </c>
      <c r="AJ144">
        <f t="shared" si="34"/>
        <v>0</v>
      </c>
      <c r="AK144">
        <f t="shared" si="35"/>
        <v>0</v>
      </c>
      <c r="AL144">
        <f t="shared" si="36"/>
        <v>0</v>
      </c>
      <c r="AM144">
        <f t="shared" si="37"/>
        <v>1</v>
      </c>
      <c r="AN144">
        <f t="shared" si="38"/>
        <v>1</v>
      </c>
      <c r="AO144">
        <f t="shared" si="39"/>
        <v>1</v>
      </c>
      <c r="AP144">
        <f t="shared" si="40"/>
        <v>0</v>
      </c>
      <c r="AQ144">
        <f t="shared" si="41"/>
        <v>1</v>
      </c>
      <c r="AR144">
        <f t="shared" si="42"/>
        <v>1</v>
      </c>
      <c r="AS144">
        <f t="shared" si="43"/>
        <v>0</v>
      </c>
      <c r="AT144">
        <f t="shared" si="44"/>
        <v>0</v>
      </c>
      <c r="AU144">
        <f t="shared" si="45"/>
        <v>0</v>
      </c>
      <c r="AV144">
        <f t="shared" si="46"/>
        <v>0</v>
      </c>
      <c r="AW144">
        <f t="shared" si="47"/>
        <v>1</v>
      </c>
      <c r="AX144">
        <f t="shared" si="48"/>
        <v>7</v>
      </c>
      <c r="AY144">
        <f>IF(Table13[[#This Row],[Please choose your sex]]="Male",0,1)</f>
        <v>1</v>
      </c>
      <c r="AZ144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44">
        <f>IF(Table13[[#This Row],[Do you hold a subspecialty qualification (degree / certificate) in Reproductive Endocrinology and Infertility?
]]="No",0,1)</f>
        <v>0</v>
      </c>
      <c r="BB144">
        <f>IF(Table13[[#This Row],[Do you provide clinical care for the management of infertility?]]="No",0,1)</f>
        <v>1</v>
      </c>
      <c r="BC144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44">
        <f>IF(Table13[[#This Row],[Do you have access to evidence-based clinical guidelines at your workplace?]]="No",0,1)</f>
        <v>0</v>
      </c>
      <c r="BE144">
        <f>IF(OR(Table13[[#This Row],[What is your practice setting? (Select all that apply.)]]="University hospital ;",Table13[[#This Row],[What is your practice setting? (Select all that apply.)]]="Public hospital ;"),1,0)</f>
        <v>0</v>
      </c>
      <c r="BF144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45" spans="1:58" ht="16" x14ac:dyDescent="0.2">
      <c r="A145" s="4">
        <v>141</v>
      </c>
      <c r="B145" s="5">
        <v>46200.790497685186</v>
      </c>
      <c r="C145" s="5">
        <v>46200.964467592596</v>
      </c>
      <c r="D145" s="4" t="s">
        <v>29</v>
      </c>
      <c r="E145" s="6">
        <v>1989</v>
      </c>
      <c r="F145" s="4" t="s">
        <v>44</v>
      </c>
      <c r="G145" s="6">
        <v>2013</v>
      </c>
      <c r="H145" s="4" t="s">
        <v>111</v>
      </c>
      <c r="I145" s="4" t="s">
        <v>33</v>
      </c>
      <c r="J145" s="4" t="s">
        <v>33</v>
      </c>
      <c r="K145" s="4" t="s">
        <v>66</v>
      </c>
      <c r="L145" s="4" t="s">
        <v>56</v>
      </c>
      <c r="M145" s="4" t="s">
        <v>47</v>
      </c>
      <c r="N145" s="4" t="s">
        <v>47</v>
      </c>
      <c r="O145" s="4" t="s">
        <v>47</v>
      </c>
      <c r="P145" s="4" t="s">
        <v>47</v>
      </c>
      <c r="Q145" s="4" t="s">
        <v>39</v>
      </c>
      <c r="R145" s="4" t="s">
        <v>47</v>
      </c>
      <c r="S145" s="4" t="s">
        <v>47</v>
      </c>
      <c r="T145" s="4" t="s">
        <v>47</v>
      </c>
      <c r="U145" s="4" t="s">
        <v>39</v>
      </c>
      <c r="V145" s="4" t="s">
        <v>47</v>
      </c>
      <c r="W145" s="4" t="s">
        <v>47</v>
      </c>
      <c r="X145" s="4" t="s">
        <v>47</v>
      </c>
      <c r="Y145" s="4" t="s">
        <v>39</v>
      </c>
      <c r="Z145" s="4" t="s">
        <v>47</v>
      </c>
      <c r="AA145" s="4" t="s">
        <v>47</v>
      </c>
      <c r="AB145" s="4" t="s">
        <v>33</v>
      </c>
      <c r="AC145" s="4" t="s">
        <v>82</v>
      </c>
      <c r="AF145" s="7">
        <f>Table13[[#This Row],[Completion time]]-Table13[[#This Row],[Start time]]</f>
        <v>0.17396990740962792</v>
      </c>
      <c r="AG145" s="8">
        <f>2026-Table13[[#This Row],[What is your year of birth? ]]</f>
        <v>37</v>
      </c>
      <c r="AH145">
        <f>2026-Table13[[#This Row],[Please indicate the year you graduated from the Faculty of Medicine]]</f>
        <v>13</v>
      </c>
      <c r="AI145">
        <f t="shared" si="33"/>
        <v>1</v>
      </c>
      <c r="AJ145">
        <f t="shared" si="34"/>
        <v>1</v>
      </c>
      <c r="AK145">
        <f t="shared" si="35"/>
        <v>1</v>
      </c>
      <c r="AL145">
        <f t="shared" si="36"/>
        <v>1</v>
      </c>
      <c r="AM145">
        <f t="shared" si="37"/>
        <v>1</v>
      </c>
      <c r="AN145">
        <f t="shared" si="38"/>
        <v>1</v>
      </c>
      <c r="AO145">
        <f t="shared" si="39"/>
        <v>1</v>
      </c>
      <c r="AP145">
        <f t="shared" si="40"/>
        <v>1</v>
      </c>
      <c r="AQ145">
        <f t="shared" si="41"/>
        <v>1</v>
      </c>
      <c r="AR145">
        <f t="shared" si="42"/>
        <v>1</v>
      </c>
      <c r="AS145">
        <f t="shared" si="43"/>
        <v>1</v>
      </c>
      <c r="AT145">
        <f t="shared" si="44"/>
        <v>1</v>
      </c>
      <c r="AU145">
        <f t="shared" si="45"/>
        <v>0</v>
      </c>
      <c r="AV145">
        <f t="shared" si="46"/>
        <v>1</v>
      </c>
      <c r="AW145">
        <f t="shared" si="47"/>
        <v>1</v>
      </c>
      <c r="AX145">
        <f t="shared" si="48"/>
        <v>14</v>
      </c>
      <c r="AY145">
        <f>IF(Table13[[#This Row],[Please choose your sex]]="Male",0,1)</f>
        <v>1</v>
      </c>
      <c r="AZ145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45">
        <f>IF(Table13[[#This Row],[Do you hold a subspecialty qualification (degree / certificate) in Reproductive Endocrinology and Infertility?
]]="No",0,1)</f>
        <v>1</v>
      </c>
      <c r="BB145">
        <f>IF(Table13[[#This Row],[Do you provide clinical care for the management of infertility?]]="No",0,1)</f>
        <v>1</v>
      </c>
      <c r="BC145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45">
        <f>IF(Table13[[#This Row],[Do you have access to evidence-based clinical guidelines at your workplace?]]="No",0,1)</f>
        <v>1</v>
      </c>
      <c r="BE145">
        <f>IF(OR(Table13[[#This Row],[What is your practice setting? (Select all that apply.)]]="University hospital ;",Table13[[#This Row],[What is your practice setting? (Select all that apply.)]]="Public hospital ;"),1,0)</f>
        <v>0</v>
      </c>
      <c r="BF145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46" spans="1:58" ht="16" x14ac:dyDescent="0.2">
      <c r="A146" s="4">
        <v>143</v>
      </c>
      <c r="B146" s="5">
        <v>46208.453599537039</v>
      </c>
      <c r="C146" s="5">
        <v>46208.454687500001</v>
      </c>
      <c r="D146" s="4" t="s">
        <v>29</v>
      </c>
      <c r="E146" s="6">
        <v>1993</v>
      </c>
      <c r="F146" s="4" t="s">
        <v>44</v>
      </c>
      <c r="G146" s="6">
        <v>2017</v>
      </c>
      <c r="H146" s="4" t="s">
        <v>75</v>
      </c>
      <c r="I146" s="4" t="s">
        <v>32</v>
      </c>
      <c r="J146" s="4" t="s">
        <v>33</v>
      </c>
      <c r="K146" s="4" t="s">
        <v>66</v>
      </c>
      <c r="L146" s="4" t="s">
        <v>84</v>
      </c>
      <c r="M146" s="4" t="s">
        <v>47</v>
      </c>
      <c r="N146" s="4" t="s">
        <v>47</v>
      </c>
      <c r="O146" s="4" t="s">
        <v>47</v>
      </c>
      <c r="P146" s="4" t="s">
        <v>39</v>
      </c>
      <c r="Q146" s="4" t="s">
        <v>39</v>
      </c>
      <c r="R146" s="4" t="s">
        <v>38</v>
      </c>
      <c r="S146" s="4" t="s">
        <v>37</v>
      </c>
      <c r="T146" s="4" t="s">
        <v>37</v>
      </c>
      <c r="U146" s="4" t="s">
        <v>39</v>
      </c>
      <c r="V146" s="4" t="s">
        <v>47</v>
      </c>
      <c r="W146" s="4" t="s">
        <v>47</v>
      </c>
      <c r="X146" s="4" t="s">
        <v>36</v>
      </c>
      <c r="Y146" s="4" t="s">
        <v>39</v>
      </c>
      <c r="Z146" s="4" t="s">
        <v>39</v>
      </c>
      <c r="AA146" s="4" t="s">
        <v>47</v>
      </c>
      <c r="AB146" s="4" t="s">
        <v>32</v>
      </c>
      <c r="AC146" s="4" t="s">
        <v>57</v>
      </c>
      <c r="AF146" s="7">
        <f>Table13[[#This Row],[Completion time]]-Table13[[#This Row],[Start time]]</f>
        <v>1.0879629626288079E-3</v>
      </c>
      <c r="AG146" s="8">
        <f>2026-Table13[[#This Row],[What is your year of birth? ]]</f>
        <v>33</v>
      </c>
      <c r="AH146">
        <f>2026-Table13[[#This Row],[Please indicate the year you graduated from the Faculty of Medicine]]</f>
        <v>9</v>
      </c>
      <c r="AI146">
        <f t="shared" si="33"/>
        <v>1</v>
      </c>
      <c r="AJ146">
        <f t="shared" si="34"/>
        <v>1</v>
      </c>
      <c r="AK146">
        <f t="shared" si="35"/>
        <v>1</v>
      </c>
      <c r="AL146">
        <f t="shared" si="36"/>
        <v>0</v>
      </c>
      <c r="AM146">
        <f t="shared" si="37"/>
        <v>1</v>
      </c>
      <c r="AN146">
        <f t="shared" si="38"/>
        <v>1</v>
      </c>
      <c r="AO146">
        <f t="shared" si="39"/>
        <v>0</v>
      </c>
      <c r="AP146">
        <f t="shared" si="40"/>
        <v>0</v>
      </c>
      <c r="AQ146">
        <f t="shared" si="41"/>
        <v>1</v>
      </c>
      <c r="AR146">
        <f t="shared" si="42"/>
        <v>1</v>
      </c>
      <c r="AS146">
        <f t="shared" si="43"/>
        <v>1</v>
      </c>
      <c r="AT146">
        <f t="shared" si="44"/>
        <v>0</v>
      </c>
      <c r="AU146">
        <f t="shared" si="45"/>
        <v>0</v>
      </c>
      <c r="AV146">
        <f t="shared" si="46"/>
        <v>0</v>
      </c>
      <c r="AW146">
        <f t="shared" si="47"/>
        <v>1</v>
      </c>
      <c r="AX146">
        <f t="shared" si="48"/>
        <v>9</v>
      </c>
      <c r="AY146">
        <f>IF(Table13[[#This Row],[Please choose your sex]]="Male",0,1)</f>
        <v>1</v>
      </c>
      <c r="AZ146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46">
        <f>IF(Table13[[#This Row],[Do you hold a subspecialty qualification (degree / certificate) in Reproductive Endocrinology and Infertility?
]]="No",0,1)</f>
        <v>0</v>
      </c>
      <c r="BB146">
        <f>IF(Table13[[#This Row],[Do you provide clinical care for the management of infertility?]]="No",0,1)</f>
        <v>1</v>
      </c>
      <c r="BC146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46">
        <f>IF(Table13[[#This Row],[Do you have access to evidence-based clinical guidelines at your workplace?]]="No",0,1)</f>
        <v>0</v>
      </c>
      <c r="BE146">
        <f>IF(OR(Table13[[#This Row],[What is your practice setting? (Select all that apply.)]]="University hospital ;",Table13[[#This Row],[What is your practice setting? (Select all that apply.)]]="Public hospital ;"),1,0)</f>
        <v>0</v>
      </c>
      <c r="BF146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47" spans="1:58" ht="16" x14ac:dyDescent="0.2">
      <c r="A147" s="4">
        <v>144</v>
      </c>
      <c r="B147" s="5">
        <v>46210.293090277781</v>
      </c>
      <c r="C147" s="5">
        <v>46210.296064814815</v>
      </c>
      <c r="D147" s="4" t="s">
        <v>29</v>
      </c>
      <c r="E147" s="6">
        <v>1993</v>
      </c>
      <c r="F147" s="4" t="s">
        <v>30</v>
      </c>
      <c r="G147" s="6">
        <v>2017</v>
      </c>
      <c r="H147" s="4" t="s">
        <v>50</v>
      </c>
      <c r="I147" s="4" t="s">
        <v>32</v>
      </c>
      <c r="J147" s="4" t="s">
        <v>33</v>
      </c>
      <c r="K147" s="4" t="s">
        <v>34</v>
      </c>
      <c r="L147" s="4" t="s">
        <v>43</v>
      </c>
      <c r="M147" s="4" t="s">
        <v>38</v>
      </c>
      <c r="N147" s="4" t="s">
        <v>37</v>
      </c>
      <c r="O147" s="4" t="s">
        <v>37</v>
      </c>
      <c r="P147" s="4" t="s">
        <v>37</v>
      </c>
      <c r="Q147" s="4" t="s">
        <v>37</v>
      </c>
      <c r="R147" s="4" t="s">
        <v>38</v>
      </c>
      <c r="S147" s="4" t="s">
        <v>37</v>
      </c>
      <c r="T147" s="4" t="s">
        <v>38</v>
      </c>
      <c r="U147" s="4" t="s">
        <v>37</v>
      </c>
      <c r="V147" s="4" t="s">
        <v>38</v>
      </c>
      <c r="W147" s="4" t="s">
        <v>37</v>
      </c>
      <c r="X147" s="4" t="s">
        <v>38</v>
      </c>
      <c r="Y147" s="4" t="s">
        <v>38</v>
      </c>
      <c r="Z147" s="4" t="s">
        <v>38</v>
      </c>
      <c r="AA147" s="4" t="s">
        <v>38</v>
      </c>
      <c r="AB147" s="4" t="s">
        <v>33</v>
      </c>
      <c r="AC147" s="4" t="s">
        <v>40</v>
      </c>
      <c r="AF147" s="7">
        <f>Table13[[#This Row],[Completion time]]-Table13[[#This Row],[Start time]]</f>
        <v>2.9745370338787325E-3</v>
      </c>
      <c r="AG147" s="8">
        <f>2026-Table13[[#This Row],[What is your year of birth? ]]</f>
        <v>33</v>
      </c>
      <c r="AH147">
        <f>2026-Table13[[#This Row],[Please indicate the year you graduated from the Faculty of Medicine]]</f>
        <v>9</v>
      </c>
      <c r="AI147">
        <f t="shared" si="33"/>
        <v>1</v>
      </c>
      <c r="AJ147">
        <f t="shared" si="34"/>
        <v>0</v>
      </c>
      <c r="AK147">
        <f t="shared" si="35"/>
        <v>0</v>
      </c>
      <c r="AL147">
        <f t="shared" si="36"/>
        <v>0</v>
      </c>
      <c r="AM147">
        <f t="shared" si="37"/>
        <v>1</v>
      </c>
      <c r="AN147">
        <f t="shared" si="38"/>
        <v>1</v>
      </c>
      <c r="AO147">
        <f t="shared" si="39"/>
        <v>0</v>
      </c>
      <c r="AP147">
        <f t="shared" si="40"/>
        <v>1</v>
      </c>
      <c r="AQ147">
        <f t="shared" si="41"/>
        <v>1</v>
      </c>
      <c r="AR147">
        <f t="shared" si="42"/>
        <v>1</v>
      </c>
      <c r="AS147">
        <f t="shared" si="43"/>
        <v>0</v>
      </c>
      <c r="AT147">
        <f t="shared" si="44"/>
        <v>1</v>
      </c>
      <c r="AU147">
        <f t="shared" si="45"/>
        <v>1</v>
      </c>
      <c r="AV147">
        <f t="shared" si="46"/>
        <v>1</v>
      </c>
      <c r="AW147">
        <f t="shared" si="47"/>
        <v>1</v>
      </c>
      <c r="AX147">
        <f t="shared" si="48"/>
        <v>10</v>
      </c>
      <c r="AY147">
        <f>IF(Table13[[#This Row],[Please choose your sex]]="Male",0,1)</f>
        <v>0</v>
      </c>
      <c r="AZ147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47">
        <f>IF(Table13[[#This Row],[Do you hold a subspecialty qualification (degree / certificate) in Reproductive Endocrinology and Infertility?
]]="No",0,1)</f>
        <v>0</v>
      </c>
      <c r="BB147">
        <f>IF(Table13[[#This Row],[Do you provide clinical care for the management of infertility?]]="No",0,1)</f>
        <v>1</v>
      </c>
      <c r="BC147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47">
        <f>IF(Table13[[#This Row],[Do you have access to evidence-based clinical guidelines at your workplace?]]="No",0,1)</f>
        <v>1</v>
      </c>
      <c r="BE147">
        <f>IF(OR(Table13[[#This Row],[What is your practice setting? (Select all that apply.)]]="University hospital ;",Table13[[#This Row],[What is your practice setting? (Select all that apply.)]]="Public hospital ;"),1,0)</f>
        <v>1</v>
      </c>
      <c r="BF147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48" spans="1:58" ht="16" x14ac:dyDescent="0.2">
      <c r="A148" s="4">
        <v>145</v>
      </c>
      <c r="B148" s="5">
        <v>46210.480706018519</v>
      </c>
      <c r="C148" s="5">
        <v>46210.486319444448</v>
      </c>
      <c r="D148" s="4" t="s">
        <v>29</v>
      </c>
      <c r="E148" s="6">
        <v>1965</v>
      </c>
      <c r="F148" s="4" t="s">
        <v>30</v>
      </c>
      <c r="G148" s="6">
        <v>1997</v>
      </c>
      <c r="H148" s="4" t="s">
        <v>75</v>
      </c>
      <c r="I148" s="4" t="s">
        <v>32</v>
      </c>
      <c r="J148" s="4" t="s">
        <v>33</v>
      </c>
      <c r="K148" s="4" t="s">
        <v>42</v>
      </c>
      <c r="L148" s="4" t="s">
        <v>113</v>
      </c>
      <c r="M148" s="4" t="s">
        <v>37</v>
      </c>
      <c r="N148" s="4" t="s">
        <v>37</v>
      </c>
      <c r="O148" s="4" t="s">
        <v>36</v>
      </c>
      <c r="P148" s="4" t="s">
        <v>37</v>
      </c>
      <c r="Q148" s="4" t="s">
        <v>37</v>
      </c>
      <c r="R148" s="4" t="s">
        <v>36</v>
      </c>
      <c r="S148" s="4" t="s">
        <v>36</v>
      </c>
      <c r="T148" s="4" t="s">
        <v>38</v>
      </c>
      <c r="U148" s="4" t="s">
        <v>37</v>
      </c>
      <c r="V148" s="4" t="s">
        <v>37</v>
      </c>
      <c r="W148" s="4" t="s">
        <v>36</v>
      </c>
      <c r="X148" s="4" t="s">
        <v>36</v>
      </c>
      <c r="Y148" s="4" t="s">
        <v>37</v>
      </c>
      <c r="Z148" s="4" t="s">
        <v>37</v>
      </c>
      <c r="AA148" s="4" t="s">
        <v>38</v>
      </c>
      <c r="AB148" s="4" t="s">
        <v>33</v>
      </c>
      <c r="AC148" s="4" t="s">
        <v>40</v>
      </c>
      <c r="AF148" s="7">
        <f>Table13[[#This Row],[Completion time]]-Table13[[#This Row],[Start time]]</f>
        <v>5.6134259284590371E-3</v>
      </c>
      <c r="AG148" s="8">
        <f>2026-Table13[[#This Row],[What is your year of birth? ]]</f>
        <v>61</v>
      </c>
      <c r="AH148">
        <f>2026-Table13[[#This Row],[Please indicate the year you graduated from the Faculty of Medicine]]</f>
        <v>29</v>
      </c>
      <c r="AI148">
        <f t="shared" si="33"/>
        <v>0</v>
      </c>
      <c r="AJ148">
        <f t="shared" si="34"/>
        <v>0</v>
      </c>
      <c r="AK148">
        <f t="shared" si="35"/>
        <v>0</v>
      </c>
      <c r="AL148">
        <f t="shared" si="36"/>
        <v>0</v>
      </c>
      <c r="AM148">
        <f t="shared" si="37"/>
        <v>1</v>
      </c>
      <c r="AN148">
        <f t="shared" si="38"/>
        <v>0</v>
      </c>
      <c r="AO148">
        <f t="shared" si="39"/>
        <v>0</v>
      </c>
      <c r="AP148">
        <f t="shared" si="40"/>
        <v>1</v>
      </c>
      <c r="AQ148">
        <f t="shared" si="41"/>
        <v>1</v>
      </c>
      <c r="AR148">
        <f t="shared" si="42"/>
        <v>0</v>
      </c>
      <c r="AS148">
        <f t="shared" si="43"/>
        <v>0</v>
      </c>
      <c r="AT148">
        <f t="shared" si="44"/>
        <v>0</v>
      </c>
      <c r="AU148">
        <f t="shared" si="45"/>
        <v>0</v>
      </c>
      <c r="AV148">
        <f t="shared" si="46"/>
        <v>0</v>
      </c>
      <c r="AW148">
        <f t="shared" si="47"/>
        <v>1</v>
      </c>
      <c r="AX148">
        <f t="shared" si="48"/>
        <v>4</v>
      </c>
      <c r="AY148">
        <f>IF(Table13[[#This Row],[Please choose your sex]]="Male",0,1)</f>
        <v>0</v>
      </c>
      <c r="AZ148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48">
        <f>IF(Table13[[#This Row],[Do you hold a subspecialty qualification (degree / certificate) in Reproductive Endocrinology and Infertility?
]]="No",0,1)</f>
        <v>0</v>
      </c>
      <c r="BB148">
        <f>IF(Table13[[#This Row],[Do you provide clinical care for the management of infertility?]]="No",0,1)</f>
        <v>1</v>
      </c>
      <c r="BC148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48">
        <f>IF(Table13[[#This Row],[Do you have access to evidence-based clinical guidelines at your workplace?]]="No",0,1)</f>
        <v>1</v>
      </c>
      <c r="BE148">
        <f>IF(OR(Table13[[#This Row],[What is your practice setting? (Select all that apply.)]]="University hospital ;",Table13[[#This Row],[What is your practice setting? (Select all that apply.)]]="Public hospital ;"),1,0)</f>
        <v>0</v>
      </c>
      <c r="BF148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49" spans="1:58" ht="16" x14ac:dyDescent="0.2">
      <c r="A149" s="4">
        <v>147</v>
      </c>
      <c r="B149" s="5">
        <v>46210.914421296293</v>
      </c>
      <c r="C149" s="5">
        <v>46210.916388888887</v>
      </c>
      <c r="D149" s="4" t="s">
        <v>29</v>
      </c>
      <c r="E149" s="6">
        <v>1995</v>
      </c>
      <c r="F149" s="4" t="s">
        <v>30</v>
      </c>
      <c r="G149" s="6">
        <v>2019</v>
      </c>
      <c r="H149" s="4" t="s">
        <v>92</v>
      </c>
      <c r="I149" s="4" t="s">
        <v>33</v>
      </c>
      <c r="J149" s="4" t="s">
        <v>33</v>
      </c>
      <c r="K149" s="4" t="s">
        <v>34</v>
      </c>
      <c r="L149" s="4" t="s">
        <v>91</v>
      </c>
      <c r="M149" s="4" t="s">
        <v>39</v>
      </c>
      <c r="N149" s="4" t="s">
        <v>39</v>
      </c>
      <c r="O149" s="4" t="s">
        <v>38</v>
      </c>
      <c r="P149" s="4" t="s">
        <v>38</v>
      </c>
      <c r="Q149" s="4" t="s">
        <v>39</v>
      </c>
      <c r="R149" s="4" t="s">
        <v>38</v>
      </c>
      <c r="S149" s="4" t="s">
        <v>39</v>
      </c>
      <c r="T149" s="4" t="s">
        <v>38</v>
      </c>
      <c r="U149" s="4" t="s">
        <v>39</v>
      </c>
      <c r="V149" s="4" t="s">
        <v>38</v>
      </c>
      <c r="W149" s="4" t="s">
        <v>38</v>
      </c>
      <c r="X149" s="4" t="s">
        <v>37</v>
      </c>
      <c r="Y149" s="4" t="s">
        <v>39</v>
      </c>
      <c r="Z149" s="4" t="s">
        <v>39</v>
      </c>
      <c r="AA149" s="4" t="s">
        <v>47</v>
      </c>
      <c r="AB149" s="4" t="s">
        <v>33</v>
      </c>
      <c r="AC149" s="4" t="s">
        <v>106</v>
      </c>
      <c r="AF149" s="7">
        <f>Table13[[#This Row],[Completion time]]-Table13[[#This Row],[Start time]]</f>
        <v>1.9675925941555761E-3</v>
      </c>
      <c r="AG149" s="8">
        <f>2026-Table13[[#This Row],[What is your year of birth? ]]</f>
        <v>31</v>
      </c>
      <c r="AH149">
        <f>2026-Table13[[#This Row],[Please indicate the year you graduated from the Faculty of Medicine]]</f>
        <v>7</v>
      </c>
      <c r="AI149">
        <f t="shared" si="33"/>
        <v>0</v>
      </c>
      <c r="AJ149">
        <f t="shared" si="34"/>
        <v>0</v>
      </c>
      <c r="AK149">
        <f t="shared" si="35"/>
        <v>1</v>
      </c>
      <c r="AL149">
        <f t="shared" si="36"/>
        <v>1</v>
      </c>
      <c r="AM149">
        <f t="shared" si="37"/>
        <v>1</v>
      </c>
      <c r="AN149">
        <f t="shared" si="38"/>
        <v>1</v>
      </c>
      <c r="AO149">
        <f t="shared" si="39"/>
        <v>0</v>
      </c>
      <c r="AP149">
        <f t="shared" si="40"/>
        <v>1</v>
      </c>
      <c r="AQ149">
        <f t="shared" si="41"/>
        <v>1</v>
      </c>
      <c r="AR149">
        <f t="shared" si="42"/>
        <v>1</v>
      </c>
      <c r="AS149">
        <f t="shared" si="43"/>
        <v>1</v>
      </c>
      <c r="AT149">
        <f t="shared" si="44"/>
        <v>0</v>
      </c>
      <c r="AU149">
        <f t="shared" si="45"/>
        <v>0</v>
      </c>
      <c r="AV149">
        <f t="shared" si="46"/>
        <v>0</v>
      </c>
      <c r="AW149">
        <f t="shared" si="47"/>
        <v>1</v>
      </c>
      <c r="AX149">
        <f t="shared" si="48"/>
        <v>9</v>
      </c>
      <c r="AY149">
        <f>IF(Table13[[#This Row],[Please choose your sex]]="Male",0,1)</f>
        <v>0</v>
      </c>
      <c r="AZ149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49">
        <f>IF(Table13[[#This Row],[Do you hold a subspecialty qualification (degree / certificate) in Reproductive Endocrinology and Infertility?
]]="No",0,1)</f>
        <v>1</v>
      </c>
      <c r="BB149">
        <f>IF(Table13[[#This Row],[Do you provide clinical care for the management of infertility?]]="No",0,1)</f>
        <v>1</v>
      </c>
      <c r="BC149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49">
        <f>IF(Table13[[#This Row],[Do you have access to evidence-based clinical guidelines at your workplace?]]="No",0,1)</f>
        <v>1</v>
      </c>
      <c r="BE149">
        <f>IF(OR(Table13[[#This Row],[What is your practice setting? (Select all that apply.)]]="University hospital ;",Table13[[#This Row],[What is your practice setting? (Select all that apply.)]]="Public hospital ;"),1,0)</f>
        <v>0</v>
      </c>
      <c r="BF149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50" spans="1:58" ht="16" x14ac:dyDescent="0.2">
      <c r="A150" s="4">
        <v>148</v>
      </c>
      <c r="B150" s="5">
        <v>46216.683287037034</v>
      </c>
      <c r="C150" s="5">
        <v>46216.68414351852</v>
      </c>
      <c r="D150" s="4" t="s">
        <v>29</v>
      </c>
      <c r="E150" s="6">
        <v>1990</v>
      </c>
      <c r="F150" s="4" t="s">
        <v>30</v>
      </c>
      <c r="G150" s="6">
        <v>2014</v>
      </c>
      <c r="H150" s="4" t="s">
        <v>50</v>
      </c>
      <c r="I150" s="4" t="s">
        <v>32</v>
      </c>
      <c r="J150" s="4" t="s">
        <v>33</v>
      </c>
      <c r="K150" s="4" t="s">
        <v>66</v>
      </c>
      <c r="L150" s="4" t="s">
        <v>84</v>
      </c>
      <c r="M150" s="4" t="s">
        <v>38</v>
      </c>
      <c r="N150" s="4" t="s">
        <v>38</v>
      </c>
      <c r="O150" s="4" t="s">
        <v>36</v>
      </c>
      <c r="P150" s="4" t="s">
        <v>39</v>
      </c>
      <c r="Q150" s="4" t="s">
        <v>39</v>
      </c>
      <c r="R150" s="4" t="s">
        <v>36</v>
      </c>
      <c r="S150" s="4" t="s">
        <v>47</v>
      </c>
      <c r="T150" s="4" t="s">
        <v>38</v>
      </c>
      <c r="U150" s="4" t="s">
        <v>39</v>
      </c>
      <c r="V150" s="4" t="s">
        <v>47</v>
      </c>
      <c r="W150" s="4" t="s">
        <v>47</v>
      </c>
      <c r="X150" s="4" t="s">
        <v>47</v>
      </c>
      <c r="Y150" s="4" t="s">
        <v>37</v>
      </c>
      <c r="Z150" s="4" t="s">
        <v>39</v>
      </c>
      <c r="AA150" s="4" t="s">
        <v>38</v>
      </c>
      <c r="AB150" s="4" t="s">
        <v>32</v>
      </c>
      <c r="AC150" s="4" t="s">
        <v>40</v>
      </c>
      <c r="AF150" s="7">
        <f>Table13[[#This Row],[Completion time]]-Table13[[#This Row],[Start time]]</f>
        <v>8.5648148524342105E-4</v>
      </c>
      <c r="AG150" s="8">
        <f>2026-Table13[[#This Row],[What is your year of birth? ]]</f>
        <v>36</v>
      </c>
      <c r="AH150">
        <f>2026-Table13[[#This Row],[Please indicate the year you graduated from the Faculty of Medicine]]</f>
        <v>12</v>
      </c>
      <c r="AI150">
        <f t="shared" si="33"/>
        <v>1</v>
      </c>
      <c r="AJ150">
        <f t="shared" si="34"/>
        <v>1</v>
      </c>
      <c r="AK150">
        <f t="shared" si="35"/>
        <v>0</v>
      </c>
      <c r="AL150">
        <f t="shared" si="36"/>
        <v>0</v>
      </c>
      <c r="AM150">
        <f t="shared" si="37"/>
        <v>1</v>
      </c>
      <c r="AN150">
        <f t="shared" si="38"/>
        <v>0</v>
      </c>
      <c r="AO150">
        <f t="shared" si="39"/>
        <v>1</v>
      </c>
      <c r="AP150">
        <f t="shared" si="40"/>
        <v>1</v>
      </c>
      <c r="AQ150">
        <f t="shared" si="41"/>
        <v>1</v>
      </c>
      <c r="AR150">
        <f t="shared" si="42"/>
        <v>1</v>
      </c>
      <c r="AS150">
        <f t="shared" si="43"/>
        <v>1</v>
      </c>
      <c r="AT150">
        <f t="shared" si="44"/>
        <v>1</v>
      </c>
      <c r="AU150">
        <f t="shared" si="45"/>
        <v>0</v>
      </c>
      <c r="AV150">
        <f t="shared" si="46"/>
        <v>0</v>
      </c>
      <c r="AW150">
        <f t="shared" si="47"/>
        <v>1</v>
      </c>
      <c r="AX150">
        <f t="shared" si="48"/>
        <v>10</v>
      </c>
      <c r="AY150">
        <f>IF(Table13[[#This Row],[Please choose your sex]]="Male",0,1)</f>
        <v>0</v>
      </c>
      <c r="AZ150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50">
        <f>IF(Table13[[#This Row],[Do you hold a subspecialty qualification (degree / certificate) in Reproductive Endocrinology and Infertility?
]]="No",0,1)</f>
        <v>0</v>
      </c>
      <c r="BB150">
        <f>IF(Table13[[#This Row],[Do you provide clinical care for the management of infertility?]]="No",0,1)</f>
        <v>1</v>
      </c>
      <c r="BC150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50">
        <f>IF(Table13[[#This Row],[Do you have access to evidence-based clinical guidelines at your workplace?]]="No",0,1)</f>
        <v>0</v>
      </c>
      <c r="BE150">
        <f>IF(OR(Table13[[#This Row],[What is your practice setting? (Select all that apply.)]]="University hospital ;",Table13[[#This Row],[What is your practice setting? (Select all that apply.)]]="Public hospital ;"),1,0)</f>
        <v>0</v>
      </c>
      <c r="BF150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51" spans="1:58" ht="16" x14ac:dyDescent="0.2">
      <c r="A151" s="4">
        <v>149</v>
      </c>
      <c r="B151" s="5">
        <v>46216.684189814812</v>
      </c>
      <c r="C151" s="5">
        <v>46216.759733796294</v>
      </c>
      <c r="D151" s="4" t="s">
        <v>29</v>
      </c>
      <c r="E151" s="6">
        <v>1989</v>
      </c>
      <c r="F151" s="4" t="s">
        <v>44</v>
      </c>
      <c r="G151" s="6">
        <v>2013</v>
      </c>
      <c r="H151" s="4" t="s">
        <v>77</v>
      </c>
      <c r="I151" s="4" t="s">
        <v>32</v>
      </c>
      <c r="J151" s="4" t="s">
        <v>33</v>
      </c>
      <c r="K151" s="4" t="s">
        <v>42</v>
      </c>
      <c r="L151" s="4" t="s">
        <v>46</v>
      </c>
      <c r="M151" s="4" t="s">
        <v>47</v>
      </c>
      <c r="N151" s="4" t="s">
        <v>47</v>
      </c>
      <c r="O151" s="4" t="s">
        <v>47</v>
      </c>
      <c r="P151" s="4" t="s">
        <v>37</v>
      </c>
      <c r="Q151" s="4" t="s">
        <v>39</v>
      </c>
      <c r="R151" s="4" t="s">
        <v>47</v>
      </c>
      <c r="S151" s="4" t="s">
        <v>47</v>
      </c>
      <c r="T151" s="4" t="s">
        <v>47</v>
      </c>
      <c r="U151" s="4" t="s">
        <v>39</v>
      </c>
      <c r="V151" s="4" t="s">
        <v>47</v>
      </c>
      <c r="W151" s="4" t="s">
        <v>47</v>
      </c>
      <c r="X151" s="4" t="s">
        <v>47</v>
      </c>
      <c r="Y151" s="4" t="s">
        <v>39</v>
      </c>
      <c r="Z151" s="4" t="s">
        <v>37</v>
      </c>
      <c r="AA151" s="4" t="s">
        <v>47</v>
      </c>
      <c r="AB151" s="4" t="s">
        <v>33</v>
      </c>
      <c r="AC151" s="4" t="s">
        <v>57</v>
      </c>
      <c r="AF151" s="7">
        <f>Table13[[#This Row],[Completion time]]-Table13[[#This Row],[Start time]]</f>
        <v>7.5543981482042E-2</v>
      </c>
      <c r="AG151" s="8">
        <f>2026-Table13[[#This Row],[What is your year of birth? ]]</f>
        <v>37</v>
      </c>
      <c r="AH151">
        <f>2026-Table13[[#This Row],[Please indicate the year you graduated from the Faculty of Medicine]]</f>
        <v>13</v>
      </c>
      <c r="AI151">
        <f t="shared" si="33"/>
        <v>1</v>
      </c>
      <c r="AJ151">
        <f t="shared" si="34"/>
        <v>1</v>
      </c>
      <c r="AK151">
        <f t="shared" si="35"/>
        <v>1</v>
      </c>
      <c r="AL151">
        <f t="shared" si="36"/>
        <v>0</v>
      </c>
      <c r="AM151">
        <f t="shared" si="37"/>
        <v>1</v>
      </c>
      <c r="AN151">
        <f t="shared" si="38"/>
        <v>1</v>
      </c>
      <c r="AO151">
        <f t="shared" si="39"/>
        <v>1</v>
      </c>
      <c r="AP151">
        <f t="shared" si="40"/>
        <v>1</v>
      </c>
      <c r="AQ151">
        <f t="shared" si="41"/>
        <v>1</v>
      </c>
      <c r="AR151">
        <f t="shared" si="42"/>
        <v>1</v>
      </c>
      <c r="AS151">
        <f t="shared" si="43"/>
        <v>1</v>
      </c>
      <c r="AT151">
        <f t="shared" si="44"/>
        <v>1</v>
      </c>
      <c r="AU151">
        <f t="shared" si="45"/>
        <v>0</v>
      </c>
      <c r="AV151">
        <f t="shared" si="46"/>
        <v>0</v>
      </c>
      <c r="AW151">
        <f t="shared" si="47"/>
        <v>1</v>
      </c>
      <c r="AX151">
        <f t="shared" si="48"/>
        <v>12</v>
      </c>
      <c r="AY151">
        <f>IF(Table13[[#This Row],[Please choose your sex]]="Male",0,1)</f>
        <v>1</v>
      </c>
      <c r="AZ151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51">
        <f>IF(Table13[[#This Row],[Do you hold a subspecialty qualification (degree / certificate) in Reproductive Endocrinology and Infertility?
]]="No",0,1)</f>
        <v>0</v>
      </c>
      <c r="BB151">
        <f>IF(Table13[[#This Row],[Do you provide clinical care for the management of infertility?]]="No",0,1)</f>
        <v>1</v>
      </c>
      <c r="BC151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51">
        <f>IF(Table13[[#This Row],[Do you have access to evidence-based clinical guidelines at your workplace?]]="No",0,1)</f>
        <v>1</v>
      </c>
      <c r="BE151">
        <f>IF(OR(Table13[[#This Row],[What is your practice setting? (Select all that apply.)]]="University hospital ;",Table13[[#This Row],[What is your practice setting? (Select all that apply.)]]="Public hospital ;"),1,0)</f>
        <v>0</v>
      </c>
      <c r="BF151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52" spans="1:58" ht="16" x14ac:dyDescent="0.2">
      <c r="A152" s="4">
        <v>150</v>
      </c>
      <c r="B152" s="5">
        <v>46216.759768518517</v>
      </c>
      <c r="C152" s="5">
        <v>46216.884756944448</v>
      </c>
      <c r="D152" s="4" t="s">
        <v>29</v>
      </c>
      <c r="E152" s="6">
        <v>1986</v>
      </c>
      <c r="F152" s="4" t="s">
        <v>30</v>
      </c>
      <c r="G152" s="6">
        <v>2010</v>
      </c>
      <c r="H152" s="4" t="s">
        <v>58</v>
      </c>
      <c r="I152" s="4" t="s">
        <v>33</v>
      </c>
      <c r="J152" s="4" t="s">
        <v>33</v>
      </c>
      <c r="K152" s="4" t="s">
        <v>42</v>
      </c>
      <c r="L152" s="4" t="s">
        <v>46</v>
      </c>
      <c r="M152" s="4" t="s">
        <v>47</v>
      </c>
      <c r="N152" s="4" t="s">
        <v>47</v>
      </c>
      <c r="O152" s="4" t="s">
        <v>47</v>
      </c>
      <c r="P152" s="4" t="s">
        <v>37</v>
      </c>
      <c r="Q152" s="4" t="s">
        <v>39</v>
      </c>
      <c r="R152" s="4" t="s">
        <v>47</v>
      </c>
      <c r="S152" s="4" t="s">
        <v>47</v>
      </c>
      <c r="T152" s="4" t="s">
        <v>47</v>
      </c>
      <c r="U152" s="4" t="s">
        <v>39</v>
      </c>
      <c r="V152" s="4" t="s">
        <v>47</v>
      </c>
      <c r="W152" s="4" t="s">
        <v>47</v>
      </c>
      <c r="X152" s="4" t="s">
        <v>47</v>
      </c>
      <c r="Y152" s="4" t="s">
        <v>39</v>
      </c>
      <c r="Z152" s="4" t="s">
        <v>38</v>
      </c>
      <c r="AA152" s="4" t="s">
        <v>47</v>
      </c>
      <c r="AB152" s="4" t="s">
        <v>33</v>
      </c>
      <c r="AC152" s="4" t="s">
        <v>57</v>
      </c>
      <c r="AF152" s="7">
        <f>Table13[[#This Row],[Completion time]]-Table13[[#This Row],[Start time]]</f>
        <v>0.12498842593049631</v>
      </c>
      <c r="AG152" s="8">
        <f>2026-Table13[[#This Row],[What is your year of birth? ]]</f>
        <v>40</v>
      </c>
      <c r="AH152">
        <f>2026-Table13[[#This Row],[Please indicate the year you graduated from the Faculty of Medicine]]</f>
        <v>16</v>
      </c>
      <c r="AI152">
        <f t="shared" si="33"/>
        <v>1</v>
      </c>
      <c r="AJ152">
        <f t="shared" si="34"/>
        <v>1</v>
      </c>
      <c r="AK152">
        <f t="shared" si="35"/>
        <v>1</v>
      </c>
      <c r="AL152">
        <f t="shared" si="36"/>
        <v>0</v>
      </c>
      <c r="AM152">
        <f t="shared" si="37"/>
        <v>1</v>
      </c>
      <c r="AN152">
        <f t="shared" si="38"/>
        <v>1</v>
      </c>
      <c r="AO152">
        <f t="shared" si="39"/>
        <v>1</v>
      </c>
      <c r="AP152">
        <f t="shared" si="40"/>
        <v>1</v>
      </c>
      <c r="AQ152">
        <f t="shared" si="41"/>
        <v>1</v>
      </c>
      <c r="AR152">
        <f t="shared" si="42"/>
        <v>1</v>
      </c>
      <c r="AS152">
        <f t="shared" si="43"/>
        <v>1</v>
      </c>
      <c r="AT152">
        <f t="shared" si="44"/>
        <v>1</v>
      </c>
      <c r="AU152">
        <f t="shared" si="45"/>
        <v>0</v>
      </c>
      <c r="AV152">
        <f t="shared" si="46"/>
        <v>1</v>
      </c>
      <c r="AW152">
        <f t="shared" si="47"/>
        <v>1</v>
      </c>
      <c r="AX152">
        <f t="shared" si="48"/>
        <v>13</v>
      </c>
      <c r="AY152">
        <f>IF(Table13[[#This Row],[Please choose your sex]]="Male",0,1)</f>
        <v>0</v>
      </c>
      <c r="AZ152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52">
        <f>IF(Table13[[#This Row],[Do you hold a subspecialty qualification (degree / certificate) in Reproductive Endocrinology and Infertility?
]]="No",0,1)</f>
        <v>1</v>
      </c>
      <c r="BB152">
        <f>IF(Table13[[#This Row],[Do you provide clinical care for the management of infertility?]]="No",0,1)</f>
        <v>1</v>
      </c>
      <c r="BC152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52">
        <f>IF(Table13[[#This Row],[Do you have access to evidence-based clinical guidelines at your workplace?]]="No",0,1)</f>
        <v>1</v>
      </c>
      <c r="BE152">
        <f>IF(OR(Table13[[#This Row],[What is your practice setting? (Select all that apply.)]]="University hospital ;",Table13[[#This Row],[What is your practice setting? (Select all that apply.)]]="Public hospital ;"),1,0)</f>
        <v>0</v>
      </c>
      <c r="BF152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53" spans="1:58" ht="16" x14ac:dyDescent="0.2">
      <c r="A153" s="4">
        <v>151</v>
      </c>
      <c r="B153" s="5">
        <v>46217.616666666669</v>
      </c>
      <c r="C153" s="5">
        <v>46217.618692129632</v>
      </c>
      <c r="D153" s="4" t="s">
        <v>29</v>
      </c>
      <c r="E153" s="6">
        <v>1993</v>
      </c>
      <c r="F153" s="4" t="s">
        <v>44</v>
      </c>
      <c r="G153" s="6">
        <v>2017</v>
      </c>
      <c r="H153" s="4" t="s">
        <v>53</v>
      </c>
      <c r="I153" s="4" t="s">
        <v>32</v>
      </c>
      <c r="J153" s="4" t="s">
        <v>33</v>
      </c>
      <c r="K153" s="4" t="s">
        <v>34</v>
      </c>
      <c r="L153" s="4" t="s">
        <v>51</v>
      </c>
      <c r="M153" s="4" t="s">
        <v>38</v>
      </c>
      <c r="N153" s="4" t="s">
        <v>38</v>
      </c>
      <c r="O153" s="4" t="s">
        <v>47</v>
      </c>
      <c r="P153" s="4" t="s">
        <v>47</v>
      </c>
      <c r="Q153" s="4" t="s">
        <v>39</v>
      </c>
      <c r="R153" s="4" t="s">
        <v>47</v>
      </c>
      <c r="S153" s="4" t="s">
        <v>47</v>
      </c>
      <c r="T153" s="4" t="s">
        <v>47</v>
      </c>
      <c r="U153" s="4" t="s">
        <v>39</v>
      </c>
      <c r="V153" s="4" t="s">
        <v>47</v>
      </c>
      <c r="W153" s="4" t="s">
        <v>47</v>
      </c>
      <c r="X153" s="4" t="s">
        <v>47</v>
      </c>
      <c r="Y153" s="4" t="s">
        <v>38</v>
      </c>
      <c r="Z153" s="4" t="s">
        <v>38</v>
      </c>
      <c r="AA153" s="4" t="s">
        <v>47</v>
      </c>
      <c r="AB153" s="4" t="s">
        <v>32</v>
      </c>
      <c r="AC153" s="4" t="s">
        <v>55</v>
      </c>
      <c r="AF153" s="7">
        <f>Table13[[#This Row],[Completion time]]-Table13[[#This Row],[Start time]]</f>
        <v>2.0254629635019228E-3</v>
      </c>
      <c r="AG153" s="8">
        <f>2026-Table13[[#This Row],[What is your year of birth? ]]</f>
        <v>33</v>
      </c>
      <c r="AH153">
        <f>2026-Table13[[#This Row],[Please indicate the year you graduated from the Faculty of Medicine]]</f>
        <v>9</v>
      </c>
      <c r="AI153">
        <f t="shared" si="33"/>
        <v>1</v>
      </c>
      <c r="AJ153">
        <f t="shared" si="34"/>
        <v>1</v>
      </c>
      <c r="AK153">
        <f t="shared" si="35"/>
        <v>1</v>
      </c>
      <c r="AL153">
        <f t="shared" si="36"/>
        <v>1</v>
      </c>
      <c r="AM153">
        <f t="shared" si="37"/>
        <v>1</v>
      </c>
      <c r="AN153">
        <f t="shared" si="38"/>
        <v>1</v>
      </c>
      <c r="AO153">
        <f t="shared" si="39"/>
        <v>1</v>
      </c>
      <c r="AP153">
        <f t="shared" si="40"/>
        <v>1</v>
      </c>
      <c r="AQ153">
        <f t="shared" si="41"/>
        <v>1</v>
      </c>
      <c r="AR153">
        <f t="shared" si="42"/>
        <v>1</v>
      </c>
      <c r="AS153">
        <f t="shared" si="43"/>
        <v>1</v>
      </c>
      <c r="AT153">
        <f t="shared" si="44"/>
        <v>1</v>
      </c>
      <c r="AU153">
        <f t="shared" si="45"/>
        <v>1</v>
      </c>
      <c r="AV153">
        <f t="shared" si="46"/>
        <v>1</v>
      </c>
      <c r="AW153">
        <f t="shared" si="47"/>
        <v>1</v>
      </c>
      <c r="AX153">
        <f t="shared" si="48"/>
        <v>15</v>
      </c>
      <c r="AY153">
        <f>IF(Table13[[#This Row],[Please choose your sex]]="Male",0,1)</f>
        <v>1</v>
      </c>
      <c r="AZ153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53">
        <f>IF(Table13[[#This Row],[Do you hold a subspecialty qualification (degree / certificate) in Reproductive Endocrinology and Infertility?
]]="No",0,1)</f>
        <v>0</v>
      </c>
      <c r="BB153">
        <f>IF(Table13[[#This Row],[Do you provide clinical care for the management of infertility?]]="No",0,1)</f>
        <v>1</v>
      </c>
      <c r="BC153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53">
        <f>IF(Table13[[#This Row],[Do you have access to evidence-based clinical guidelines at your workplace?]]="No",0,1)</f>
        <v>0</v>
      </c>
      <c r="BE153">
        <f>IF(OR(Table13[[#This Row],[What is your practice setting? (Select all that apply.)]]="University hospital ;",Table13[[#This Row],[What is your practice setting? (Select all that apply.)]]="Public hospital ;"),1,0)</f>
        <v>0</v>
      </c>
      <c r="BF153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54" spans="1:58" ht="16" x14ac:dyDescent="0.2">
      <c r="A154" s="4">
        <v>152</v>
      </c>
      <c r="B154" s="5">
        <v>46217.81108796296</v>
      </c>
      <c r="C154" s="5">
        <v>46217.825532407405</v>
      </c>
      <c r="D154" s="4" t="s">
        <v>29</v>
      </c>
      <c r="E154" s="6">
        <v>1976</v>
      </c>
      <c r="F154" s="4" t="s">
        <v>44</v>
      </c>
      <c r="G154" s="6">
        <v>2000</v>
      </c>
      <c r="H154" s="4" t="s">
        <v>77</v>
      </c>
      <c r="I154" s="4" t="s">
        <v>32</v>
      </c>
      <c r="J154" s="4" t="s">
        <v>33</v>
      </c>
      <c r="K154" s="4" t="s">
        <v>42</v>
      </c>
      <c r="L154" s="4" t="s">
        <v>74</v>
      </c>
      <c r="M154" s="4" t="s">
        <v>47</v>
      </c>
      <c r="N154" s="4" t="s">
        <v>47</v>
      </c>
      <c r="O154" s="4" t="s">
        <v>47</v>
      </c>
      <c r="P154" s="4" t="s">
        <v>39</v>
      </c>
      <c r="Q154" s="4" t="s">
        <v>39</v>
      </c>
      <c r="R154" s="4" t="s">
        <v>47</v>
      </c>
      <c r="S154" s="4" t="s">
        <v>47</v>
      </c>
      <c r="T154" s="4" t="s">
        <v>37</v>
      </c>
      <c r="U154" s="4" t="s">
        <v>39</v>
      </c>
      <c r="V154" s="4" t="s">
        <v>47</v>
      </c>
      <c r="W154" s="4" t="s">
        <v>36</v>
      </c>
      <c r="X154" s="4" t="s">
        <v>36</v>
      </c>
      <c r="Y154" s="4" t="s">
        <v>39</v>
      </c>
      <c r="Z154" s="4" t="s">
        <v>37</v>
      </c>
      <c r="AA154" s="4" t="s">
        <v>47</v>
      </c>
      <c r="AB154" s="4" t="s">
        <v>33</v>
      </c>
      <c r="AC154" s="4" t="s">
        <v>57</v>
      </c>
      <c r="AF154" s="7">
        <f>Table13[[#This Row],[Completion time]]-Table13[[#This Row],[Start time]]</f>
        <v>1.4444444444961846E-2</v>
      </c>
      <c r="AG154" s="8">
        <f>2026-Table13[[#This Row],[What is your year of birth? ]]</f>
        <v>50</v>
      </c>
      <c r="AH154">
        <f>2026-Table13[[#This Row],[Please indicate the year you graduated from the Faculty of Medicine]]</f>
        <v>26</v>
      </c>
      <c r="AI154">
        <f t="shared" si="33"/>
        <v>1</v>
      </c>
      <c r="AJ154">
        <f t="shared" si="34"/>
        <v>1</v>
      </c>
      <c r="AK154">
        <f t="shared" si="35"/>
        <v>1</v>
      </c>
      <c r="AL154">
        <f t="shared" si="36"/>
        <v>0</v>
      </c>
      <c r="AM154">
        <f t="shared" si="37"/>
        <v>1</v>
      </c>
      <c r="AN154">
        <f t="shared" si="38"/>
        <v>1</v>
      </c>
      <c r="AO154">
        <f t="shared" si="39"/>
        <v>1</v>
      </c>
      <c r="AP154">
        <f t="shared" si="40"/>
        <v>0</v>
      </c>
      <c r="AQ154">
        <f t="shared" si="41"/>
        <v>1</v>
      </c>
      <c r="AR154">
        <f t="shared" si="42"/>
        <v>1</v>
      </c>
      <c r="AS154">
        <f t="shared" si="43"/>
        <v>0</v>
      </c>
      <c r="AT154">
        <f t="shared" si="44"/>
        <v>0</v>
      </c>
      <c r="AU154">
        <f t="shared" si="45"/>
        <v>0</v>
      </c>
      <c r="AV154">
        <f t="shared" si="46"/>
        <v>0</v>
      </c>
      <c r="AW154">
        <f t="shared" si="47"/>
        <v>1</v>
      </c>
      <c r="AX154">
        <f t="shared" si="48"/>
        <v>9</v>
      </c>
      <c r="AY154">
        <f>IF(Table13[[#This Row],[Please choose your sex]]="Male",0,1)</f>
        <v>1</v>
      </c>
      <c r="AZ154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54">
        <f>IF(Table13[[#This Row],[Do you hold a subspecialty qualification (degree / certificate) in Reproductive Endocrinology and Infertility?
]]="No",0,1)</f>
        <v>0</v>
      </c>
      <c r="BB154">
        <f>IF(Table13[[#This Row],[Do you provide clinical care for the management of infertility?]]="No",0,1)</f>
        <v>1</v>
      </c>
      <c r="BC154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54">
        <f>IF(Table13[[#This Row],[Do you have access to evidence-based clinical guidelines at your workplace?]]="No",0,1)</f>
        <v>1</v>
      </c>
      <c r="BE154">
        <f>IF(OR(Table13[[#This Row],[What is your practice setting? (Select all that apply.)]]="University hospital ;",Table13[[#This Row],[What is your practice setting? (Select all that apply.)]]="Public hospital ;"),1,0)</f>
        <v>0</v>
      </c>
      <c r="BF154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55" spans="1:58" ht="16" x14ac:dyDescent="0.2">
      <c r="A155" s="4">
        <v>153</v>
      </c>
      <c r="B155" s="5">
        <v>46218.4296412037</v>
      </c>
      <c r="C155" s="5">
        <v>46218.433738425927</v>
      </c>
      <c r="D155" s="4" t="s">
        <v>29</v>
      </c>
      <c r="E155" s="6">
        <v>1967</v>
      </c>
      <c r="F155" s="4" t="s">
        <v>44</v>
      </c>
      <c r="G155" s="6">
        <v>1990</v>
      </c>
      <c r="H155" s="4" t="s">
        <v>45</v>
      </c>
      <c r="I155" s="4" t="s">
        <v>33</v>
      </c>
      <c r="J155" s="4" t="s">
        <v>33</v>
      </c>
      <c r="K155" s="4" t="s">
        <v>42</v>
      </c>
      <c r="L155" s="4" t="s">
        <v>64</v>
      </c>
      <c r="M155" s="4" t="s">
        <v>38</v>
      </c>
      <c r="N155" s="4" t="s">
        <v>38</v>
      </c>
      <c r="O155" s="4" t="s">
        <v>38</v>
      </c>
      <c r="P155" s="4" t="s">
        <v>37</v>
      </c>
      <c r="Q155" s="4" t="s">
        <v>39</v>
      </c>
      <c r="R155" s="4" t="s">
        <v>38</v>
      </c>
      <c r="S155" s="4" t="s">
        <v>47</v>
      </c>
      <c r="T155" s="4" t="s">
        <v>38</v>
      </c>
      <c r="U155" s="4" t="s">
        <v>47</v>
      </c>
      <c r="V155" s="4" t="s">
        <v>38</v>
      </c>
      <c r="W155" s="4" t="s">
        <v>47</v>
      </c>
      <c r="X155" s="4" t="s">
        <v>38</v>
      </c>
      <c r="Y155" s="4" t="s">
        <v>38</v>
      </c>
      <c r="Z155" s="4" t="s">
        <v>37</v>
      </c>
      <c r="AA155" s="4" t="s">
        <v>38</v>
      </c>
      <c r="AB155" s="4" t="s">
        <v>33</v>
      </c>
      <c r="AC155" s="4" t="s">
        <v>40</v>
      </c>
      <c r="AF155" s="7">
        <f>Table13[[#This Row],[Completion time]]-Table13[[#This Row],[Start time]]</f>
        <v>4.0972222268464975E-3</v>
      </c>
      <c r="AG155" s="8">
        <f>2026-Table13[[#This Row],[What is your year of birth? ]]</f>
        <v>59</v>
      </c>
      <c r="AH155">
        <f>2026-Table13[[#This Row],[Please indicate the year you graduated from the Faculty of Medicine]]</f>
        <v>36</v>
      </c>
      <c r="AI155">
        <f t="shared" si="33"/>
        <v>1</v>
      </c>
      <c r="AJ155">
        <f t="shared" si="34"/>
        <v>1</v>
      </c>
      <c r="AK155">
        <f t="shared" si="35"/>
        <v>1</v>
      </c>
      <c r="AL155">
        <f t="shared" si="36"/>
        <v>0</v>
      </c>
      <c r="AM155">
        <f t="shared" si="37"/>
        <v>1</v>
      </c>
      <c r="AN155">
        <f t="shared" si="38"/>
        <v>1</v>
      </c>
      <c r="AO155">
        <f t="shared" si="39"/>
        <v>1</v>
      </c>
      <c r="AP155">
        <f t="shared" si="40"/>
        <v>1</v>
      </c>
      <c r="AQ155">
        <f t="shared" si="41"/>
        <v>0</v>
      </c>
      <c r="AR155">
        <f t="shared" si="42"/>
        <v>1</v>
      </c>
      <c r="AS155">
        <f t="shared" si="43"/>
        <v>1</v>
      </c>
      <c r="AT155">
        <f t="shared" si="44"/>
        <v>1</v>
      </c>
      <c r="AU155">
        <f t="shared" si="45"/>
        <v>1</v>
      </c>
      <c r="AV155">
        <f t="shared" si="46"/>
        <v>0</v>
      </c>
      <c r="AW155">
        <f t="shared" si="47"/>
        <v>1</v>
      </c>
      <c r="AX155">
        <f t="shared" si="48"/>
        <v>12</v>
      </c>
      <c r="AY155">
        <f>IF(Table13[[#This Row],[Please choose your sex]]="Male",0,1)</f>
        <v>1</v>
      </c>
      <c r="AZ155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55">
        <f>IF(Table13[[#This Row],[Do you hold a subspecialty qualification (degree / certificate) in Reproductive Endocrinology and Infertility?
]]="No",0,1)</f>
        <v>1</v>
      </c>
      <c r="BB155">
        <f>IF(Table13[[#This Row],[Do you provide clinical care for the management of infertility?]]="No",0,1)</f>
        <v>1</v>
      </c>
      <c r="BC155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55">
        <f>IF(Table13[[#This Row],[Do you have access to evidence-based clinical guidelines at your workplace?]]="No",0,1)</f>
        <v>1</v>
      </c>
      <c r="BE155">
        <f>IF(OR(Table13[[#This Row],[What is your practice setting? (Select all that apply.)]]="University hospital ;",Table13[[#This Row],[What is your practice setting? (Select all that apply.)]]="Public hospital ;"),1,0)</f>
        <v>0</v>
      </c>
      <c r="BF155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56" spans="1:58" ht="16" x14ac:dyDescent="0.2">
      <c r="A156" s="4">
        <v>155</v>
      </c>
      <c r="B156" s="5">
        <v>46218.956053240741</v>
      </c>
      <c r="C156" s="5">
        <v>46218.957060185188</v>
      </c>
      <c r="D156" s="4" t="s">
        <v>29</v>
      </c>
      <c r="E156" s="6">
        <v>1982</v>
      </c>
      <c r="F156" s="4" t="s">
        <v>30</v>
      </c>
      <c r="G156" s="6">
        <v>2012</v>
      </c>
      <c r="H156" s="4" t="s">
        <v>58</v>
      </c>
      <c r="I156" s="4" t="s">
        <v>32</v>
      </c>
      <c r="J156" s="4" t="s">
        <v>33</v>
      </c>
      <c r="K156" s="4" t="s">
        <v>42</v>
      </c>
      <c r="L156" s="4" t="s">
        <v>115</v>
      </c>
      <c r="M156" s="4" t="s">
        <v>47</v>
      </c>
      <c r="N156" s="4" t="s">
        <v>47</v>
      </c>
      <c r="O156" s="4" t="s">
        <v>47</v>
      </c>
      <c r="P156" s="4" t="s">
        <v>39</v>
      </c>
      <c r="Q156" s="4" t="s">
        <v>39</v>
      </c>
      <c r="R156" s="4" t="s">
        <v>47</v>
      </c>
      <c r="S156" s="4" t="s">
        <v>47</v>
      </c>
      <c r="T156" s="4" t="s">
        <v>47</v>
      </c>
      <c r="U156" s="4" t="s">
        <v>39</v>
      </c>
      <c r="V156" s="4" t="s">
        <v>47</v>
      </c>
      <c r="W156" s="4" t="s">
        <v>47</v>
      </c>
      <c r="X156" s="4" t="s">
        <v>47</v>
      </c>
      <c r="Y156" s="4" t="s">
        <v>39</v>
      </c>
      <c r="Z156" s="4" t="s">
        <v>39</v>
      </c>
      <c r="AA156" s="4" t="s">
        <v>47</v>
      </c>
      <c r="AB156" s="4" t="s">
        <v>33</v>
      </c>
      <c r="AC156" s="4" t="s">
        <v>82</v>
      </c>
      <c r="AF156" s="7">
        <f>Table13[[#This Row],[Completion time]]-Table13[[#This Row],[Start time]]</f>
        <v>1.006944446999114E-3</v>
      </c>
      <c r="AG156" s="8">
        <f>2026-Table13[[#This Row],[What is your year of birth? ]]</f>
        <v>44</v>
      </c>
      <c r="AH156">
        <f>2026-Table13[[#This Row],[Please indicate the year you graduated from the Faculty of Medicine]]</f>
        <v>14</v>
      </c>
      <c r="AI156">
        <f t="shared" si="33"/>
        <v>1</v>
      </c>
      <c r="AJ156">
        <f t="shared" si="34"/>
        <v>1</v>
      </c>
      <c r="AK156">
        <f t="shared" si="35"/>
        <v>1</v>
      </c>
      <c r="AL156">
        <f t="shared" si="36"/>
        <v>0</v>
      </c>
      <c r="AM156">
        <f t="shared" si="37"/>
        <v>1</v>
      </c>
      <c r="AN156">
        <f t="shared" si="38"/>
        <v>1</v>
      </c>
      <c r="AO156">
        <f t="shared" si="39"/>
        <v>1</v>
      </c>
      <c r="AP156">
        <f t="shared" si="40"/>
        <v>1</v>
      </c>
      <c r="AQ156">
        <f t="shared" si="41"/>
        <v>1</v>
      </c>
      <c r="AR156">
        <f t="shared" si="42"/>
        <v>1</v>
      </c>
      <c r="AS156">
        <f t="shared" si="43"/>
        <v>1</v>
      </c>
      <c r="AT156">
        <f t="shared" si="44"/>
        <v>1</v>
      </c>
      <c r="AU156">
        <f t="shared" si="45"/>
        <v>0</v>
      </c>
      <c r="AV156">
        <f t="shared" si="46"/>
        <v>0</v>
      </c>
      <c r="AW156">
        <f t="shared" si="47"/>
        <v>1</v>
      </c>
      <c r="AX156">
        <f t="shared" si="48"/>
        <v>12</v>
      </c>
      <c r="AY156">
        <f>IF(Table13[[#This Row],[Please choose your sex]]="Male",0,1)</f>
        <v>0</v>
      </c>
      <c r="AZ156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56">
        <f>IF(Table13[[#This Row],[Do you hold a subspecialty qualification (degree / certificate) in Reproductive Endocrinology and Infertility?
]]="No",0,1)</f>
        <v>0</v>
      </c>
      <c r="BB156">
        <f>IF(Table13[[#This Row],[Do you provide clinical care for the management of infertility?]]="No",0,1)</f>
        <v>1</v>
      </c>
      <c r="BC156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56">
        <f>IF(Table13[[#This Row],[Do you have access to evidence-based clinical guidelines at your workplace?]]="No",0,1)</f>
        <v>1</v>
      </c>
      <c r="BE156">
        <f>IF(OR(Table13[[#This Row],[What is your practice setting? (Select all that apply.)]]="University hospital ;",Table13[[#This Row],[What is your practice setting? (Select all that apply.)]]="Public hospital ;"),1,0)</f>
        <v>0</v>
      </c>
      <c r="BF156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57" spans="1:58" ht="16" x14ac:dyDescent="0.2">
      <c r="A157" s="4">
        <v>156</v>
      </c>
      <c r="B157" s="5">
        <v>46219.513402777775</v>
      </c>
      <c r="C157" s="5">
        <v>46219.515625</v>
      </c>
      <c r="D157" s="4" t="s">
        <v>29</v>
      </c>
      <c r="E157" s="6">
        <v>1983</v>
      </c>
      <c r="F157" s="4" t="s">
        <v>44</v>
      </c>
      <c r="G157" s="6">
        <v>2006</v>
      </c>
      <c r="H157" s="4" t="s">
        <v>45</v>
      </c>
      <c r="I157" s="4" t="s">
        <v>33</v>
      </c>
      <c r="J157" s="4" t="s">
        <v>33</v>
      </c>
      <c r="K157" s="4" t="s">
        <v>66</v>
      </c>
      <c r="L157" s="4" t="s">
        <v>56</v>
      </c>
      <c r="M157" s="4" t="s">
        <v>37</v>
      </c>
      <c r="N157" s="4" t="s">
        <v>36</v>
      </c>
      <c r="O157" s="4" t="s">
        <v>37</v>
      </c>
      <c r="P157" s="4" t="s">
        <v>36</v>
      </c>
      <c r="Q157" s="4" t="s">
        <v>39</v>
      </c>
      <c r="R157" s="4" t="s">
        <v>36</v>
      </c>
      <c r="S157" s="4" t="s">
        <v>36</v>
      </c>
      <c r="T157" s="4" t="s">
        <v>36</v>
      </c>
      <c r="U157" s="4" t="s">
        <v>37</v>
      </c>
      <c r="V157" s="4" t="s">
        <v>37</v>
      </c>
      <c r="W157" s="4" t="s">
        <v>37</v>
      </c>
      <c r="X157" s="4" t="s">
        <v>47</v>
      </c>
      <c r="Y157" s="4" t="s">
        <v>38</v>
      </c>
      <c r="Z157" s="4" t="s">
        <v>37</v>
      </c>
      <c r="AA157" s="4" t="s">
        <v>38</v>
      </c>
      <c r="AB157" s="4" t="s">
        <v>33</v>
      </c>
      <c r="AC157" s="4" t="s">
        <v>40</v>
      </c>
      <c r="AF157" s="7">
        <f>Table13[[#This Row],[Completion time]]-Table13[[#This Row],[Start time]]</f>
        <v>2.2222222251002677E-3</v>
      </c>
      <c r="AG157" s="8">
        <f>2026-Table13[[#This Row],[What is your year of birth? ]]</f>
        <v>43</v>
      </c>
      <c r="AH157">
        <f>2026-Table13[[#This Row],[Please indicate the year you graduated from the Faculty of Medicine]]</f>
        <v>20</v>
      </c>
      <c r="AI157">
        <f t="shared" si="33"/>
        <v>0</v>
      </c>
      <c r="AJ157">
        <f t="shared" si="34"/>
        <v>0</v>
      </c>
      <c r="AK157">
        <f t="shared" si="35"/>
        <v>0</v>
      </c>
      <c r="AL157">
        <f t="shared" si="36"/>
        <v>0</v>
      </c>
      <c r="AM157">
        <f t="shared" si="37"/>
        <v>1</v>
      </c>
      <c r="AN157">
        <f t="shared" si="38"/>
        <v>0</v>
      </c>
      <c r="AO157">
        <f t="shared" si="39"/>
        <v>0</v>
      </c>
      <c r="AP157">
        <f t="shared" si="40"/>
        <v>0</v>
      </c>
      <c r="AQ157">
        <f t="shared" si="41"/>
        <v>1</v>
      </c>
      <c r="AR157">
        <f t="shared" si="42"/>
        <v>0</v>
      </c>
      <c r="AS157">
        <f t="shared" si="43"/>
        <v>0</v>
      </c>
      <c r="AT157">
        <f t="shared" si="44"/>
        <v>1</v>
      </c>
      <c r="AU157">
        <f t="shared" si="45"/>
        <v>1</v>
      </c>
      <c r="AV157">
        <f t="shared" si="46"/>
        <v>0</v>
      </c>
      <c r="AW157">
        <f t="shared" si="47"/>
        <v>1</v>
      </c>
      <c r="AX157">
        <f t="shared" si="48"/>
        <v>5</v>
      </c>
      <c r="AY157">
        <f>IF(Table13[[#This Row],[Please choose your sex]]="Male",0,1)</f>
        <v>1</v>
      </c>
      <c r="AZ157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57">
        <f>IF(Table13[[#This Row],[Do you hold a subspecialty qualification (degree / certificate) in Reproductive Endocrinology and Infertility?
]]="No",0,1)</f>
        <v>1</v>
      </c>
      <c r="BB157">
        <f>IF(Table13[[#This Row],[Do you provide clinical care for the management of infertility?]]="No",0,1)</f>
        <v>1</v>
      </c>
      <c r="BC157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57">
        <f>IF(Table13[[#This Row],[Do you have access to evidence-based clinical guidelines at your workplace?]]="No",0,1)</f>
        <v>1</v>
      </c>
      <c r="BE157">
        <f>IF(OR(Table13[[#This Row],[What is your practice setting? (Select all that apply.)]]="University hospital ;",Table13[[#This Row],[What is your practice setting? (Select all that apply.)]]="Public hospital ;"),1,0)</f>
        <v>0</v>
      </c>
      <c r="BF157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58" spans="1:58" ht="16" x14ac:dyDescent="0.2">
      <c r="A158" s="4">
        <v>157</v>
      </c>
      <c r="B158" s="5">
        <v>46219.566851851851</v>
      </c>
      <c r="C158" s="5">
        <v>46219.567743055559</v>
      </c>
      <c r="D158" s="4" t="s">
        <v>29</v>
      </c>
      <c r="E158" s="6">
        <v>1983</v>
      </c>
      <c r="F158" s="4" t="s">
        <v>44</v>
      </c>
      <c r="G158" s="6">
        <v>2007</v>
      </c>
      <c r="H158" s="4" t="s">
        <v>50</v>
      </c>
      <c r="I158" s="4" t="s">
        <v>32</v>
      </c>
      <c r="J158" s="4" t="s">
        <v>33</v>
      </c>
      <c r="K158" s="4" t="s">
        <v>42</v>
      </c>
      <c r="L158" s="4" t="s">
        <v>84</v>
      </c>
      <c r="M158" s="4" t="s">
        <v>47</v>
      </c>
      <c r="N158" s="4" t="s">
        <v>47</v>
      </c>
      <c r="O158" s="4" t="s">
        <v>47</v>
      </c>
      <c r="P158" s="4" t="s">
        <v>39</v>
      </c>
      <c r="Q158" s="4" t="s">
        <v>39</v>
      </c>
      <c r="R158" s="4" t="s">
        <v>47</v>
      </c>
      <c r="S158" s="4" t="s">
        <v>47</v>
      </c>
      <c r="T158" s="4" t="s">
        <v>37</v>
      </c>
      <c r="U158" s="4" t="s">
        <v>39</v>
      </c>
      <c r="V158" s="4" t="s">
        <v>47</v>
      </c>
      <c r="W158" s="4" t="s">
        <v>47</v>
      </c>
      <c r="X158" s="4" t="s">
        <v>47</v>
      </c>
      <c r="Y158" s="4" t="s">
        <v>39</v>
      </c>
      <c r="Z158" s="4" t="s">
        <v>39</v>
      </c>
      <c r="AA158" s="4" t="s">
        <v>47</v>
      </c>
      <c r="AB158" s="4" t="s">
        <v>32</v>
      </c>
      <c r="AC158" s="4" t="s">
        <v>57</v>
      </c>
      <c r="AF158" s="7">
        <f>Table13[[#This Row],[Completion time]]-Table13[[#This Row],[Start time]]</f>
        <v>8.9120370830642059E-4</v>
      </c>
      <c r="AG158" s="8">
        <f>2026-Table13[[#This Row],[What is your year of birth? ]]</f>
        <v>43</v>
      </c>
      <c r="AH158">
        <f>2026-Table13[[#This Row],[Please indicate the year you graduated from the Faculty of Medicine]]</f>
        <v>19</v>
      </c>
      <c r="AI158">
        <f t="shared" si="33"/>
        <v>1</v>
      </c>
      <c r="AJ158">
        <f t="shared" si="34"/>
        <v>1</v>
      </c>
      <c r="AK158">
        <f t="shared" si="35"/>
        <v>1</v>
      </c>
      <c r="AL158">
        <f t="shared" si="36"/>
        <v>0</v>
      </c>
      <c r="AM158">
        <f t="shared" si="37"/>
        <v>1</v>
      </c>
      <c r="AN158">
        <f t="shared" si="38"/>
        <v>1</v>
      </c>
      <c r="AO158">
        <f t="shared" si="39"/>
        <v>1</v>
      </c>
      <c r="AP158">
        <f t="shared" si="40"/>
        <v>0</v>
      </c>
      <c r="AQ158">
        <f t="shared" si="41"/>
        <v>1</v>
      </c>
      <c r="AR158">
        <f t="shared" si="42"/>
        <v>1</v>
      </c>
      <c r="AS158">
        <f t="shared" si="43"/>
        <v>1</v>
      </c>
      <c r="AT158">
        <f t="shared" si="44"/>
        <v>1</v>
      </c>
      <c r="AU158">
        <f t="shared" si="45"/>
        <v>0</v>
      </c>
      <c r="AV158">
        <f t="shared" si="46"/>
        <v>0</v>
      </c>
      <c r="AW158">
        <f t="shared" si="47"/>
        <v>1</v>
      </c>
      <c r="AX158">
        <f t="shared" si="48"/>
        <v>11</v>
      </c>
      <c r="AY158">
        <f>IF(Table13[[#This Row],[Please choose your sex]]="Male",0,1)</f>
        <v>1</v>
      </c>
      <c r="AZ158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58">
        <f>IF(Table13[[#This Row],[Do you hold a subspecialty qualification (degree / certificate) in Reproductive Endocrinology and Infertility?
]]="No",0,1)</f>
        <v>0</v>
      </c>
      <c r="BB158">
        <f>IF(Table13[[#This Row],[Do you provide clinical care for the management of infertility?]]="No",0,1)</f>
        <v>1</v>
      </c>
      <c r="BC158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58">
        <f>IF(Table13[[#This Row],[Do you have access to evidence-based clinical guidelines at your workplace?]]="No",0,1)</f>
        <v>0</v>
      </c>
      <c r="BE158">
        <f>IF(OR(Table13[[#This Row],[What is your practice setting? (Select all that apply.)]]="University hospital ;",Table13[[#This Row],[What is your practice setting? (Select all that apply.)]]="Public hospital ;"),1,0)</f>
        <v>0</v>
      </c>
      <c r="BF158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59" spans="1:58" ht="16" x14ac:dyDescent="0.2">
      <c r="A159" s="4">
        <v>158</v>
      </c>
      <c r="B159" s="5">
        <v>46220.563611111109</v>
      </c>
      <c r="C159" s="5">
        <v>46220.565949074073</v>
      </c>
      <c r="D159" s="4" t="s">
        <v>29</v>
      </c>
      <c r="E159" s="6">
        <v>1966</v>
      </c>
      <c r="F159" s="4" t="s">
        <v>30</v>
      </c>
      <c r="G159" s="6">
        <v>1989</v>
      </c>
      <c r="H159" s="4" t="s">
        <v>111</v>
      </c>
      <c r="I159" s="4" t="s">
        <v>32</v>
      </c>
      <c r="J159" s="4" t="s">
        <v>33</v>
      </c>
      <c r="K159" s="4" t="s">
        <v>42</v>
      </c>
      <c r="L159" s="4" t="s">
        <v>46</v>
      </c>
      <c r="M159" s="4" t="s">
        <v>47</v>
      </c>
      <c r="N159" s="4" t="s">
        <v>37</v>
      </c>
      <c r="O159" s="4" t="s">
        <v>47</v>
      </c>
      <c r="P159" s="4" t="s">
        <v>39</v>
      </c>
      <c r="Q159" s="4" t="s">
        <v>39</v>
      </c>
      <c r="R159" s="4" t="s">
        <v>47</v>
      </c>
      <c r="S159" s="4" t="s">
        <v>47</v>
      </c>
      <c r="T159" s="4" t="s">
        <v>47</v>
      </c>
      <c r="U159" s="4" t="s">
        <v>47</v>
      </c>
      <c r="V159" s="4" t="s">
        <v>47</v>
      </c>
      <c r="W159" s="4" t="s">
        <v>47</v>
      </c>
      <c r="X159" s="4" t="s">
        <v>47</v>
      </c>
      <c r="Y159" s="4" t="s">
        <v>39</v>
      </c>
      <c r="Z159" s="4" t="s">
        <v>39</v>
      </c>
      <c r="AA159" s="4" t="s">
        <v>47</v>
      </c>
      <c r="AB159" s="4" t="s">
        <v>32</v>
      </c>
      <c r="AC159" s="4" t="s">
        <v>48</v>
      </c>
      <c r="AF159" s="7">
        <f>Table13[[#This Row],[Completion time]]-Table13[[#This Row],[Start time]]</f>
        <v>2.3379629637929611E-3</v>
      </c>
      <c r="AG159" s="8">
        <f>2026-Table13[[#This Row],[What is your year of birth? ]]</f>
        <v>60</v>
      </c>
      <c r="AH159">
        <f>2026-Table13[[#This Row],[Please indicate the year you graduated from the Faculty of Medicine]]</f>
        <v>37</v>
      </c>
      <c r="AI159">
        <f t="shared" si="33"/>
        <v>1</v>
      </c>
      <c r="AJ159">
        <f t="shared" si="34"/>
        <v>0</v>
      </c>
      <c r="AK159">
        <f t="shared" si="35"/>
        <v>1</v>
      </c>
      <c r="AL159">
        <f t="shared" si="36"/>
        <v>0</v>
      </c>
      <c r="AM159">
        <f t="shared" si="37"/>
        <v>1</v>
      </c>
      <c r="AN159">
        <f t="shared" si="38"/>
        <v>1</v>
      </c>
      <c r="AO159">
        <f t="shared" si="39"/>
        <v>1</v>
      </c>
      <c r="AP159">
        <f t="shared" si="40"/>
        <v>1</v>
      </c>
      <c r="AQ159">
        <f t="shared" si="41"/>
        <v>0</v>
      </c>
      <c r="AR159">
        <f t="shared" si="42"/>
        <v>1</v>
      </c>
      <c r="AS159">
        <f t="shared" si="43"/>
        <v>1</v>
      </c>
      <c r="AT159">
        <f t="shared" si="44"/>
        <v>1</v>
      </c>
      <c r="AU159">
        <f t="shared" si="45"/>
        <v>0</v>
      </c>
      <c r="AV159">
        <f t="shared" si="46"/>
        <v>0</v>
      </c>
      <c r="AW159">
        <f t="shared" si="47"/>
        <v>1</v>
      </c>
      <c r="AX159">
        <f t="shared" si="48"/>
        <v>10</v>
      </c>
      <c r="AY159">
        <f>IF(Table13[[#This Row],[Please choose your sex]]="Male",0,1)</f>
        <v>0</v>
      </c>
      <c r="AZ159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59">
        <f>IF(Table13[[#This Row],[Do you hold a subspecialty qualification (degree / certificate) in Reproductive Endocrinology and Infertility?
]]="No",0,1)</f>
        <v>0</v>
      </c>
      <c r="BB159">
        <f>IF(Table13[[#This Row],[Do you provide clinical care for the management of infertility?]]="No",0,1)</f>
        <v>1</v>
      </c>
      <c r="BC159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59">
        <f>IF(Table13[[#This Row],[Do you have access to evidence-based clinical guidelines at your workplace?]]="No",0,1)</f>
        <v>0</v>
      </c>
      <c r="BE159">
        <f>IF(OR(Table13[[#This Row],[What is your practice setting? (Select all that apply.)]]="University hospital ;",Table13[[#This Row],[What is your practice setting? (Select all that apply.)]]="Public hospital ;"),1,0)</f>
        <v>0</v>
      </c>
      <c r="BF159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60" spans="1:58" ht="16" x14ac:dyDescent="0.2">
      <c r="A160" s="4">
        <v>159</v>
      </c>
      <c r="B160" s="5">
        <v>46220.585081018522</v>
      </c>
      <c r="C160" s="5">
        <v>46220.588101851848</v>
      </c>
      <c r="D160" s="4" t="s">
        <v>29</v>
      </c>
      <c r="E160" s="6">
        <v>1976</v>
      </c>
      <c r="F160" s="4" t="s">
        <v>30</v>
      </c>
      <c r="G160" s="6">
        <v>1999</v>
      </c>
      <c r="H160" s="4" t="s">
        <v>111</v>
      </c>
      <c r="I160" s="4" t="s">
        <v>33</v>
      </c>
      <c r="J160" s="4" t="s">
        <v>33</v>
      </c>
      <c r="K160" s="4" t="s">
        <v>42</v>
      </c>
      <c r="L160" s="4" t="s">
        <v>46</v>
      </c>
      <c r="M160" s="4" t="s">
        <v>47</v>
      </c>
      <c r="N160" s="4" t="s">
        <v>47</v>
      </c>
      <c r="O160" s="4" t="s">
        <v>37</v>
      </c>
      <c r="P160" s="4" t="s">
        <v>37</v>
      </c>
      <c r="Q160" s="4" t="s">
        <v>39</v>
      </c>
      <c r="R160" s="4" t="s">
        <v>38</v>
      </c>
      <c r="S160" s="4" t="s">
        <v>38</v>
      </c>
      <c r="T160" s="4" t="s">
        <v>38</v>
      </c>
      <c r="U160" s="4" t="s">
        <v>37</v>
      </c>
      <c r="V160" s="4" t="s">
        <v>36</v>
      </c>
      <c r="W160" s="4" t="s">
        <v>47</v>
      </c>
      <c r="X160" s="4" t="s">
        <v>47</v>
      </c>
      <c r="Y160" s="4" t="s">
        <v>38</v>
      </c>
      <c r="Z160" s="4" t="s">
        <v>38</v>
      </c>
      <c r="AA160" s="4" t="s">
        <v>47</v>
      </c>
      <c r="AB160" s="4" t="s">
        <v>32</v>
      </c>
      <c r="AC160" s="4" t="s">
        <v>40</v>
      </c>
      <c r="AF160" s="7">
        <f>Table13[[#This Row],[Completion time]]-Table13[[#This Row],[Start time]]</f>
        <v>3.0208333264454268E-3</v>
      </c>
      <c r="AG160" s="8">
        <f>2026-Table13[[#This Row],[What is your year of birth? ]]</f>
        <v>50</v>
      </c>
      <c r="AH160">
        <f>2026-Table13[[#This Row],[Please indicate the year you graduated from the Faculty of Medicine]]</f>
        <v>27</v>
      </c>
      <c r="AI160">
        <f t="shared" si="33"/>
        <v>1</v>
      </c>
      <c r="AJ160">
        <f t="shared" si="34"/>
        <v>1</v>
      </c>
      <c r="AK160">
        <f t="shared" si="35"/>
        <v>0</v>
      </c>
      <c r="AL160">
        <f t="shared" si="36"/>
        <v>0</v>
      </c>
      <c r="AM160">
        <f t="shared" si="37"/>
        <v>1</v>
      </c>
      <c r="AN160">
        <f t="shared" si="38"/>
        <v>1</v>
      </c>
      <c r="AO160">
        <f t="shared" si="39"/>
        <v>1</v>
      </c>
      <c r="AP160">
        <f t="shared" si="40"/>
        <v>1</v>
      </c>
      <c r="AQ160">
        <f t="shared" si="41"/>
        <v>1</v>
      </c>
      <c r="AR160">
        <f t="shared" si="42"/>
        <v>0</v>
      </c>
      <c r="AS160">
        <f t="shared" si="43"/>
        <v>1</v>
      </c>
      <c r="AT160">
        <f t="shared" si="44"/>
        <v>1</v>
      </c>
      <c r="AU160">
        <f t="shared" si="45"/>
        <v>1</v>
      </c>
      <c r="AV160">
        <f t="shared" si="46"/>
        <v>1</v>
      </c>
      <c r="AW160">
        <f t="shared" si="47"/>
        <v>1</v>
      </c>
      <c r="AX160">
        <f t="shared" si="48"/>
        <v>12</v>
      </c>
      <c r="AY160">
        <f>IF(Table13[[#This Row],[Please choose your sex]]="Male",0,1)</f>
        <v>0</v>
      </c>
      <c r="AZ160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60">
        <f>IF(Table13[[#This Row],[Do you hold a subspecialty qualification (degree / certificate) in Reproductive Endocrinology and Infertility?
]]="No",0,1)</f>
        <v>1</v>
      </c>
      <c r="BB160">
        <f>IF(Table13[[#This Row],[Do you provide clinical care for the management of infertility?]]="No",0,1)</f>
        <v>1</v>
      </c>
      <c r="BC160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60">
        <f>IF(Table13[[#This Row],[Do you have access to evidence-based clinical guidelines at your workplace?]]="No",0,1)</f>
        <v>0</v>
      </c>
      <c r="BE160">
        <f>IF(OR(Table13[[#This Row],[What is your practice setting? (Select all that apply.)]]="University hospital ;",Table13[[#This Row],[What is your practice setting? (Select all that apply.)]]="Public hospital ;"),1,0)</f>
        <v>0</v>
      </c>
      <c r="BF160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61" spans="1:58" ht="16" x14ac:dyDescent="0.2">
      <c r="A161" s="4">
        <v>160</v>
      </c>
      <c r="B161" s="5">
        <v>46220.606122685182</v>
      </c>
      <c r="C161" s="5">
        <v>46220.651331018518</v>
      </c>
      <c r="D161" s="4" t="s">
        <v>29</v>
      </c>
      <c r="E161" s="6">
        <v>1990</v>
      </c>
      <c r="F161" s="4" t="s">
        <v>44</v>
      </c>
      <c r="G161" s="6">
        <v>2014</v>
      </c>
      <c r="H161" s="4" t="s">
        <v>77</v>
      </c>
      <c r="I161" s="4" t="s">
        <v>32</v>
      </c>
      <c r="J161" s="4" t="s">
        <v>33</v>
      </c>
      <c r="K161" s="4" t="s">
        <v>42</v>
      </c>
      <c r="L161" s="4" t="s">
        <v>74</v>
      </c>
      <c r="M161" s="4" t="s">
        <v>47</v>
      </c>
      <c r="N161" s="4" t="s">
        <v>47</v>
      </c>
      <c r="O161" s="4" t="s">
        <v>38</v>
      </c>
      <c r="P161" s="4" t="s">
        <v>39</v>
      </c>
      <c r="Q161" s="4" t="s">
        <v>39</v>
      </c>
      <c r="R161" s="4" t="s">
        <v>38</v>
      </c>
      <c r="S161" s="4" t="s">
        <v>47</v>
      </c>
      <c r="T161" s="4" t="s">
        <v>36</v>
      </c>
      <c r="U161" s="4" t="s">
        <v>39</v>
      </c>
      <c r="V161" s="4" t="s">
        <v>47</v>
      </c>
      <c r="W161" s="4" t="s">
        <v>36</v>
      </c>
      <c r="X161" s="4" t="s">
        <v>36</v>
      </c>
      <c r="Y161" s="4" t="s">
        <v>39</v>
      </c>
      <c r="Z161" s="4" t="s">
        <v>37</v>
      </c>
      <c r="AA161" s="4" t="s">
        <v>47</v>
      </c>
      <c r="AB161" s="4" t="s">
        <v>32</v>
      </c>
      <c r="AC161" s="4" t="s">
        <v>82</v>
      </c>
      <c r="AF161" s="7">
        <f>Table13[[#This Row],[Completion time]]-Table13[[#This Row],[Start time]]</f>
        <v>4.5208333336631767E-2</v>
      </c>
      <c r="AG161" s="8">
        <f>2026-Table13[[#This Row],[What is your year of birth? ]]</f>
        <v>36</v>
      </c>
      <c r="AH161">
        <f>2026-Table13[[#This Row],[Please indicate the year you graduated from the Faculty of Medicine]]</f>
        <v>12</v>
      </c>
      <c r="AI161">
        <f t="shared" si="33"/>
        <v>1</v>
      </c>
      <c r="AJ161">
        <f t="shared" si="34"/>
        <v>1</v>
      </c>
      <c r="AK161">
        <f t="shared" si="35"/>
        <v>1</v>
      </c>
      <c r="AL161">
        <f t="shared" si="36"/>
        <v>0</v>
      </c>
      <c r="AM161">
        <f t="shared" si="37"/>
        <v>1</v>
      </c>
      <c r="AN161">
        <f t="shared" si="38"/>
        <v>1</v>
      </c>
      <c r="AO161">
        <f t="shared" si="39"/>
        <v>1</v>
      </c>
      <c r="AP161">
        <f t="shared" si="40"/>
        <v>0</v>
      </c>
      <c r="AQ161">
        <f t="shared" si="41"/>
        <v>1</v>
      </c>
      <c r="AR161">
        <f t="shared" si="42"/>
        <v>1</v>
      </c>
      <c r="AS161">
        <f t="shared" si="43"/>
        <v>0</v>
      </c>
      <c r="AT161">
        <f t="shared" si="44"/>
        <v>0</v>
      </c>
      <c r="AU161">
        <f t="shared" si="45"/>
        <v>0</v>
      </c>
      <c r="AV161">
        <f t="shared" si="46"/>
        <v>0</v>
      </c>
      <c r="AW161">
        <f t="shared" si="47"/>
        <v>1</v>
      </c>
      <c r="AX161">
        <f t="shared" si="48"/>
        <v>9</v>
      </c>
      <c r="AY161">
        <f>IF(Table13[[#This Row],[Please choose your sex]]="Male",0,1)</f>
        <v>1</v>
      </c>
      <c r="AZ161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61">
        <f>IF(Table13[[#This Row],[Do you hold a subspecialty qualification (degree / certificate) in Reproductive Endocrinology and Infertility?
]]="No",0,1)</f>
        <v>0</v>
      </c>
      <c r="BB161">
        <f>IF(Table13[[#This Row],[Do you provide clinical care for the management of infertility?]]="No",0,1)</f>
        <v>1</v>
      </c>
      <c r="BC161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61">
        <f>IF(Table13[[#This Row],[Do you have access to evidence-based clinical guidelines at your workplace?]]="No",0,1)</f>
        <v>0</v>
      </c>
      <c r="BE161">
        <f>IF(OR(Table13[[#This Row],[What is your practice setting? (Select all that apply.)]]="University hospital ;",Table13[[#This Row],[What is your practice setting? (Select all that apply.)]]="Public hospital ;"),1,0)</f>
        <v>0</v>
      </c>
      <c r="BF161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62" spans="1:58" ht="16" x14ac:dyDescent="0.2">
      <c r="A162" s="4">
        <v>161</v>
      </c>
      <c r="B162" s="5">
        <v>46220.658645833333</v>
      </c>
      <c r="C162" s="5">
        <v>46220.660081018519</v>
      </c>
      <c r="D162" s="4" t="s">
        <v>29</v>
      </c>
      <c r="E162" s="6">
        <v>1980</v>
      </c>
      <c r="F162" s="4" t="s">
        <v>30</v>
      </c>
      <c r="G162" s="6">
        <v>2003</v>
      </c>
      <c r="H162" s="4" t="s">
        <v>45</v>
      </c>
      <c r="I162" s="4" t="s">
        <v>32</v>
      </c>
      <c r="J162" s="4" t="s">
        <v>33</v>
      </c>
      <c r="K162" s="4" t="s">
        <v>42</v>
      </c>
      <c r="L162" s="4" t="s">
        <v>43</v>
      </c>
      <c r="M162" s="4" t="s">
        <v>47</v>
      </c>
      <c r="N162" s="4" t="s">
        <v>47</v>
      </c>
      <c r="O162" s="4" t="s">
        <v>47</v>
      </c>
      <c r="P162" s="4" t="s">
        <v>38</v>
      </c>
      <c r="Q162" s="4" t="s">
        <v>39</v>
      </c>
      <c r="R162" s="4" t="s">
        <v>47</v>
      </c>
      <c r="S162" s="4" t="s">
        <v>47</v>
      </c>
      <c r="T162" s="4" t="s">
        <v>47</v>
      </c>
      <c r="U162" s="4" t="s">
        <v>39</v>
      </c>
      <c r="V162" s="4" t="s">
        <v>47</v>
      </c>
      <c r="W162" s="4" t="s">
        <v>47</v>
      </c>
      <c r="X162" s="4" t="s">
        <v>47</v>
      </c>
      <c r="Y162" s="4" t="s">
        <v>38</v>
      </c>
      <c r="Z162" s="4" t="s">
        <v>38</v>
      </c>
      <c r="AA162" s="4" t="s">
        <v>47</v>
      </c>
      <c r="AB162" s="4" t="s">
        <v>33</v>
      </c>
      <c r="AC162" s="4" t="s">
        <v>40</v>
      </c>
      <c r="AF162" s="7">
        <f>Table13[[#This Row],[Completion time]]-Table13[[#This Row],[Start time]]</f>
        <v>1.4351851859828457E-3</v>
      </c>
      <c r="AG162" s="8">
        <f>2026-Table13[[#This Row],[What is your year of birth? ]]</f>
        <v>46</v>
      </c>
      <c r="AH162">
        <f>2026-Table13[[#This Row],[Please indicate the year you graduated from the Faculty of Medicine]]</f>
        <v>23</v>
      </c>
      <c r="AI162">
        <f t="shared" si="33"/>
        <v>1</v>
      </c>
      <c r="AJ162">
        <f t="shared" si="34"/>
        <v>1</v>
      </c>
      <c r="AK162">
        <f t="shared" si="35"/>
        <v>1</v>
      </c>
      <c r="AL162">
        <f t="shared" si="36"/>
        <v>1</v>
      </c>
      <c r="AM162">
        <f t="shared" si="37"/>
        <v>1</v>
      </c>
      <c r="AN162">
        <f t="shared" si="38"/>
        <v>1</v>
      </c>
      <c r="AO162">
        <f t="shared" si="39"/>
        <v>1</v>
      </c>
      <c r="AP162">
        <f t="shared" si="40"/>
        <v>1</v>
      </c>
      <c r="AQ162">
        <f t="shared" si="41"/>
        <v>1</v>
      </c>
      <c r="AR162">
        <f t="shared" si="42"/>
        <v>1</v>
      </c>
      <c r="AS162">
        <f t="shared" si="43"/>
        <v>1</v>
      </c>
      <c r="AT162">
        <f t="shared" si="44"/>
        <v>1</v>
      </c>
      <c r="AU162">
        <f t="shared" si="45"/>
        <v>1</v>
      </c>
      <c r="AV162">
        <f t="shared" si="46"/>
        <v>1</v>
      </c>
      <c r="AW162">
        <f t="shared" si="47"/>
        <v>1</v>
      </c>
      <c r="AX162">
        <f t="shared" si="48"/>
        <v>15</v>
      </c>
      <c r="AY162">
        <f>IF(Table13[[#This Row],[Please choose your sex]]="Male",0,1)</f>
        <v>0</v>
      </c>
      <c r="AZ162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62">
        <f>IF(Table13[[#This Row],[Do you hold a subspecialty qualification (degree / certificate) in Reproductive Endocrinology and Infertility?
]]="No",0,1)</f>
        <v>0</v>
      </c>
      <c r="BB162">
        <f>IF(Table13[[#This Row],[Do you provide clinical care for the management of infertility?]]="No",0,1)</f>
        <v>1</v>
      </c>
      <c r="BC162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62">
        <f>IF(Table13[[#This Row],[Do you have access to evidence-based clinical guidelines at your workplace?]]="No",0,1)</f>
        <v>1</v>
      </c>
      <c r="BE162">
        <f>IF(OR(Table13[[#This Row],[What is your practice setting? (Select all that apply.)]]="University hospital ;",Table13[[#This Row],[What is your practice setting? (Select all that apply.)]]="Public hospital ;"),1,0)</f>
        <v>1</v>
      </c>
      <c r="BF162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63" spans="1:58" ht="16" x14ac:dyDescent="0.2">
      <c r="A163" s="4">
        <v>162</v>
      </c>
      <c r="B163" s="5">
        <v>46220.686192129629</v>
      </c>
      <c r="C163" s="5">
        <v>46220.688587962963</v>
      </c>
      <c r="D163" s="4" t="s">
        <v>29</v>
      </c>
      <c r="E163" s="6">
        <v>1989</v>
      </c>
      <c r="F163" s="4" t="s">
        <v>30</v>
      </c>
      <c r="G163" s="6">
        <v>2012</v>
      </c>
      <c r="H163" s="4" t="s">
        <v>41</v>
      </c>
      <c r="I163" s="4" t="s">
        <v>33</v>
      </c>
      <c r="J163" s="4" t="s">
        <v>33</v>
      </c>
      <c r="K163" s="4" t="s">
        <v>66</v>
      </c>
      <c r="L163" s="4" t="s">
        <v>64</v>
      </c>
      <c r="M163" s="4" t="s">
        <v>47</v>
      </c>
      <c r="N163" s="4" t="s">
        <v>38</v>
      </c>
      <c r="O163" s="4" t="s">
        <v>38</v>
      </c>
      <c r="P163" s="4" t="s">
        <v>37</v>
      </c>
      <c r="Q163" s="4" t="s">
        <v>39</v>
      </c>
      <c r="R163" s="4" t="s">
        <v>47</v>
      </c>
      <c r="S163" s="4" t="s">
        <v>38</v>
      </c>
      <c r="T163" s="4" t="s">
        <v>47</v>
      </c>
      <c r="U163" s="4" t="s">
        <v>37</v>
      </c>
      <c r="V163" s="4" t="s">
        <v>47</v>
      </c>
      <c r="W163" s="4" t="s">
        <v>47</v>
      </c>
      <c r="X163" s="4" t="s">
        <v>47</v>
      </c>
      <c r="Y163" s="4" t="s">
        <v>39</v>
      </c>
      <c r="Z163" s="4" t="s">
        <v>37</v>
      </c>
      <c r="AA163" s="4" t="s">
        <v>37</v>
      </c>
      <c r="AB163" s="4" t="s">
        <v>33</v>
      </c>
      <c r="AC163" s="4" t="s">
        <v>78</v>
      </c>
      <c r="AF163" s="7">
        <f>Table13[[#This Row],[Completion time]]-Table13[[#This Row],[Start time]]</f>
        <v>2.3958333331393078E-3</v>
      </c>
      <c r="AG163" s="8">
        <f>2026-Table13[[#This Row],[What is your year of birth? ]]</f>
        <v>37</v>
      </c>
      <c r="AH163">
        <f>2026-Table13[[#This Row],[Please indicate the year you graduated from the Faculty of Medicine]]</f>
        <v>14</v>
      </c>
      <c r="AI163">
        <f t="shared" si="33"/>
        <v>1</v>
      </c>
      <c r="AJ163">
        <f t="shared" si="34"/>
        <v>1</v>
      </c>
      <c r="AK163">
        <f t="shared" si="35"/>
        <v>1</v>
      </c>
      <c r="AL163">
        <f t="shared" si="36"/>
        <v>0</v>
      </c>
      <c r="AM163">
        <f t="shared" si="37"/>
        <v>1</v>
      </c>
      <c r="AN163">
        <f t="shared" si="38"/>
        <v>1</v>
      </c>
      <c r="AO163">
        <f t="shared" si="39"/>
        <v>1</v>
      </c>
      <c r="AP163">
        <f t="shared" si="40"/>
        <v>1</v>
      </c>
      <c r="AQ163">
        <f t="shared" si="41"/>
        <v>1</v>
      </c>
      <c r="AR163">
        <f t="shared" si="42"/>
        <v>1</v>
      </c>
      <c r="AS163">
        <f t="shared" si="43"/>
        <v>1</v>
      </c>
      <c r="AT163">
        <f t="shared" si="44"/>
        <v>1</v>
      </c>
      <c r="AU163">
        <f t="shared" si="45"/>
        <v>0</v>
      </c>
      <c r="AV163">
        <f t="shared" si="46"/>
        <v>0</v>
      </c>
      <c r="AW163">
        <f t="shared" si="47"/>
        <v>0</v>
      </c>
      <c r="AX163">
        <f t="shared" si="48"/>
        <v>11</v>
      </c>
      <c r="AY163">
        <f>IF(Table13[[#This Row],[Please choose your sex]]="Male",0,1)</f>
        <v>0</v>
      </c>
      <c r="AZ163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63">
        <f>IF(Table13[[#This Row],[Do you hold a subspecialty qualification (degree / certificate) in Reproductive Endocrinology and Infertility?
]]="No",0,1)</f>
        <v>1</v>
      </c>
      <c r="BB163">
        <f>IF(Table13[[#This Row],[Do you provide clinical care for the management of infertility?]]="No",0,1)</f>
        <v>1</v>
      </c>
      <c r="BC163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63">
        <f>IF(Table13[[#This Row],[Do you have access to evidence-based clinical guidelines at your workplace?]]="No",0,1)</f>
        <v>1</v>
      </c>
      <c r="BE163">
        <f>IF(OR(Table13[[#This Row],[What is your practice setting? (Select all that apply.)]]="University hospital ;",Table13[[#This Row],[What is your practice setting? (Select all that apply.)]]="Public hospital ;"),1,0)</f>
        <v>0</v>
      </c>
      <c r="BF163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64" spans="1:58" ht="16" x14ac:dyDescent="0.2">
      <c r="A164" s="4">
        <v>163</v>
      </c>
      <c r="B164" s="5">
        <v>46220.69127314815</v>
      </c>
      <c r="C164" s="5">
        <v>46220.693425925929</v>
      </c>
      <c r="D164" s="4" t="s">
        <v>29</v>
      </c>
      <c r="E164" s="6">
        <v>1984</v>
      </c>
      <c r="F164" s="4" t="s">
        <v>30</v>
      </c>
      <c r="G164" s="6">
        <v>2006</v>
      </c>
      <c r="H164" s="4" t="s">
        <v>45</v>
      </c>
      <c r="I164" s="4" t="s">
        <v>33</v>
      </c>
      <c r="J164" s="4" t="s">
        <v>33</v>
      </c>
      <c r="K164" s="4" t="s">
        <v>42</v>
      </c>
      <c r="L164" s="4" t="s">
        <v>46</v>
      </c>
      <c r="M164" s="4" t="s">
        <v>38</v>
      </c>
      <c r="N164" s="4" t="s">
        <v>38</v>
      </c>
      <c r="O164" s="4" t="s">
        <v>38</v>
      </c>
      <c r="P164" s="4" t="s">
        <v>37</v>
      </c>
      <c r="Q164" s="4" t="s">
        <v>37</v>
      </c>
      <c r="R164" s="4" t="s">
        <v>47</v>
      </c>
      <c r="S164" s="4" t="s">
        <v>47</v>
      </c>
      <c r="T164" s="4" t="s">
        <v>38</v>
      </c>
      <c r="U164" s="4" t="s">
        <v>39</v>
      </c>
      <c r="V164" s="4" t="s">
        <v>47</v>
      </c>
      <c r="W164" s="4" t="s">
        <v>47</v>
      </c>
      <c r="X164" s="4" t="s">
        <v>47</v>
      </c>
      <c r="Y164" s="4" t="s">
        <v>38</v>
      </c>
      <c r="Z164" s="4" t="s">
        <v>37</v>
      </c>
      <c r="AA164" s="4" t="s">
        <v>38</v>
      </c>
      <c r="AB164" s="4" t="s">
        <v>33</v>
      </c>
      <c r="AC164" s="4" t="s">
        <v>40</v>
      </c>
      <c r="AF164" s="7">
        <f>Table13[[#This Row],[Completion time]]-Table13[[#This Row],[Start time]]</f>
        <v>2.1527777789742686E-3</v>
      </c>
      <c r="AG164" s="8">
        <f>2026-Table13[[#This Row],[What is your year of birth? ]]</f>
        <v>42</v>
      </c>
      <c r="AH164">
        <f>2026-Table13[[#This Row],[Please indicate the year you graduated from the Faculty of Medicine]]</f>
        <v>20</v>
      </c>
      <c r="AI164">
        <f t="shared" si="33"/>
        <v>1</v>
      </c>
      <c r="AJ164">
        <f t="shared" si="34"/>
        <v>1</v>
      </c>
      <c r="AK164">
        <f t="shared" si="35"/>
        <v>1</v>
      </c>
      <c r="AL164">
        <f t="shared" si="36"/>
        <v>0</v>
      </c>
      <c r="AM164">
        <f t="shared" si="37"/>
        <v>1</v>
      </c>
      <c r="AN164">
        <f t="shared" si="38"/>
        <v>1</v>
      </c>
      <c r="AO164">
        <f t="shared" si="39"/>
        <v>1</v>
      </c>
      <c r="AP164">
        <f t="shared" si="40"/>
        <v>1</v>
      </c>
      <c r="AQ164">
        <f t="shared" si="41"/>
        <v>1</v>
      </c>
      <c r="AR164">
        <f t="shared" si="42"/>
        <v>1</v>
      </c>
      <c r="AS164">
        <f t="shared" si="43"/>
        <v>1</v>
      </c>
      <c r="AT164">
        <f t="shared" si="44"/>
        <v>1</v>
      </c>
      <c r="AU164">
        <f t="shared" si="45"/>
        <v>1</v>
      </c>
      <c r="AV164">
        <f t="shared" si="46"/>
        <v>0</v>
      </c>
      <c r="AW164">
        <f t="shared" si="47"/>
        <v>1</v>
      </c>
      <c r="AX164">
        <f t="shared" si="48"/>
        <v>13</v>
      </c>
      <c r="AY164">
        <f>IF(Table13[[#This Row],[Please choose your sex]]="Male",0,1)</f>
        <v>0</v>
      </c>
      <c r="AZ164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64">
        <f>IF(Table13[[#This Row],[Do you hold a subspecialty qualification (degree / certificate) in Reproductive Endocrinology and Infertility?
]]="No",0,1)</f>
        <v>1</v>
      </c>
      <c r="BB164">
        <f>IF(Table13[[#This Row],[Do you provide clinical care for the management of infertility?]]="No",0,1)</f>
        <v>1</v>
      </c>
      <c r="BC164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64">
        <f>IF(Table13[[#This Row],[Do you have access to evidence-based clinical guidelines at your workplace?]]="No",0,1)</f>
        <v>1</v>
      </c>
      <c r="BE164">
        <f>IF(OR(Table13[[#This Row],[What is your practice setting? (Select all that apply.)]]="University hospital ;",Table13[[#This Row],[What is your practice setting? (Select all that apply.)]]="Public hospital ;"),1,0)</f>
        <v>0</v>
      </c>
      <c r="BF164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65" spans="1:58" ht="16" x14ac:dyDescent="0.2">
      <c r="A165" s="4">
        <v>164</v>
      </c>
      <c r="B165" s="5">
        <v>46221.396238425928</v>
      </c>
      <c r="C165" s="5">
        <v>46221.398611111108</v>
      </c>
      <c r="D165" s="4" t="s">
        <v>29</v>
      </c>
      <c r="E165" s="6">
        <v>1992</v>
      </c>
      <c r="F165" s="4" t="s">
        <v>30</v>
      </c>
      <c r="G165" s="6">
        <v>2015</v>
      </c>
      <c r="H165" s="4" t="s">
        <v>45</v>
      </c>
      <c r="I165" s="4" t="s">
        <v>32</v>
      </c>
      <c r="J165" s="4" t="s">
        <v>33</v>
      </c>
      <c r="K165" s="4" t="s">
        <v>66</v>
      </c>
      <c r="L165" s="4" t="s">
        <v>43</v>
      </c>
      <c r="M165" s="4" t="s">
        <v>38</v>
      </c>
      <c r="N165" s="4" t="s">
        <v>38</v>
      </c>
      <c r="O165" s="4" t="s">
        <v>36</v>
      </c>
      <c r="P165" s="4" t="s">
        <v>36</v>
      </c>
      <c r="Q165" s="4" t="s">
        <v>37</v>
      </c>
      <c r="R165" s="4" t="s">
        <v>38</v>
      </c>
      <c r="S165" s="4" t="s">
        <v>38</v>
      </c>
      <c r="T165" s="4" t="s">
        <v>37</v>
      </c>
      <c r="U165" s="4" t="s">
        <v>37</v>
      </c>
      <c r="V165" s="4" t="s">
        <v>36</v>
      </c>
      <c r="W165" s="4" t="s">
        <v>36</v>
      </c>
      <c r="X165" s="4" t="s">
        <v>36</v>
      </c>
      <c r="Y165" s="4" t="s">
        <v>38</v>
      </c>
      <c r="Z165" s="4" t="s">
        <v>37</v>
      </c>
      <c r="AA165" s="4" t="s">
        <v>38</v>
      </c>
      <c r="AB165" s="4" t="s">
        <v>33</v>
      </c>
      <c r="AC165" s="4" t="s">
        <v>40</v>
      </c>
      <c r="AF165" s="7">
        <f>Table13[[#This Row],[Completion time]]-Table13[[#This Row],[Start time]]</f>
        <v>2.372685179580003E-3</v>
      </c>
      <c r="AG165" s="8">
        <f>2026-Table13[[#This Row],[What is your year of birth? ]]</f>
        <v>34</v>
      </c>
      <c r="AH165">
        <f>2026-Table13[[#This Row],[Please indicate the year you graduated from the Faculty of Medicine]]</f>
        <v>11</v>
      </c>
      <c r="AI165">
        <f t="shared" si="33"/>
        <v>1</v>
      </c>
      <c r="AJ165">
        <f t="shared" si="34"/>
        <v>1</v>
      </c>
      <c r="AK165">
        <f t="shared" si="35"/>
        <v>0</v>
      </c>
      <c r="AL165">
        <f t="shared" si="36"/>
        <v>0</v>
      </c>
      <c r="AM165">
        <f t="shared" si="37"/>
        <v>1</v>
      </c>
      <c r="AN165">
        <f t="shared" si="38"/>
        <v>1</v>
      </c>
      <c r="AO165">
        <f t="shared" si="39"/>
        <v>1</v>
      </c>
      <c r="AP165">
        <f t="shared" si="40"/>
        <v>0</v>
      </c>
      <c r="AQ165">
        <f t="shared" si="41"/>
        <v>1</v>
      </c>
      <c r="AR165">
        <f t="shared" si="42"/>
        <v>0</v>
      </c>
      <c r="AS165">
        <f t="shared" si="43"/>
        <v>0</v>
      </c>
      <c r="AT165">
        <f t="shared" si="44"/>
        <v>0</v>
      </c>
      <c r="AU165">
        <f t="shared" si="45"/>
        <v>1</v>
      </c>
      <c r="AV165">
        <f t="shared" si="46"/>
        <v>0</v>
      </c>
      <c r="AW165">
        <f t="shared" si="47"/>
        <v>1</v>
      </c>
      <c r="AX165">
        <f t="shared" si="48"/>
        <v>8</v>
      </c>
      <c r="AY165">
        <f>IF(Table13[[#This Row],[Please choose your sex]]="Male",0,1)</f>
        <v>0</v>
      </c>
      <c r="AZ165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65">
        <f>IF(Table13[[#This Row],[Do you hold a subspecialty qualification (degree / certificate) in Reproductive Endocrinology and Infertility?
]]="No",0,1)</f>
        <v>0</v>
      </c>
      <c r="BB165">
        <f>IF(Table13[[#This Row],[Do you provide clinical care for the management of infertility?]]="No",0,1)</f>
        <v>1</v>
      </c>
      <c r="BC165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65">
        <f>IF(Table13[[#This Row],[Do you have access to evidence-based clinical guidelines at your workplace?]]="No",0,1)</f>
        <v>1</v>
      </c>
      <c r="BE165">
        <f>IF(OR(Table13[[#This Row],[What is your practice setting? (Select all that apply.)]]="University hospital ;",Table13[[#This Row],[What is your practice setting? (Select all that apply.)]]="Public hospital ;"),1,0)</f>
        <v>1</v>
      </c>
      <c r="BF165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66" spans="1:58" ht="16" x14ac:dyDescent="0.2">
      <c r="A166" s="4">
        <v>165</v>
      </c>
      <c r="B166" s="5">
        <v>46221.456608796296</v>
      </c>
      <c r="C166" s="5">
        <v>46221.457372685189</v>
      </c>
      <c r="D166" s="4" t="s">
        <v>29</v>
      </c>
      <c r="E166" s="6">
        <v>1989</v>
      </c>
      <c r="F166" s="4" t="s">
        <v>44</v>
      </c>
      <c r="G166" s="6">
        <v>2013</v>
      </c>
      <c r="H166" s="4" t="s">
        <v>77</v>
      </c>
      <c r="I166" s="4" t="s">
        <v>32</v>
      </c>
      <c r="J166" s="4" t="s">
        <v>33</v>
      </c>
      <c r="K166" s="4" t="s">
        <v>42</v>
      </c>
      <c r="L166" s="4" t="s">
        <v>51</v>
      </c>
      <c r="M166" s="4" t="s">
        <v>47</v>
      </c>
      <c r="N166" s="4" t="s">
        <v>47</v>
      </c>
      <c r="O166" s="4" t="s">
        <v>47</v>
      </c>
      <c r="P166" s="4" t="s">
        <v>39</v>
      </c>
      <c r="Q166" s="4" t="s">
        <v>39</v>
      </c>
      <c r="R166" s="4" t="s">
        <v>47</v>
      </c>
      <c r="S166" s="4" t="s">
        <v>47</v>
      </c>
      <c r="T166" s="4" t="s">
        <v>37</v>
      </c>
      <c r="U166" s="4" t="s">
        <v>39</v>
      </c>
      <c r="V166" s="4" t="s">
        <v>47</v>
      </c>
      <c r="W166" s="4" t="s">
        <v>36</v>
      </c>
      <c r="X166" s="4" t="s">
        <v>36</v>
      </c>
      <c r="Y166" s="4" t="s">
        <v>39</v>
      </c>
      <c r="Z166" s="4" t="s">
        <v>37</v>
      </c>
      <c r="AA166" s="4" t="s">
        <v>47</v>
      </c>
      <c r="AB166" s="4" t="s">
        <v>33</v>
      </c>
      <c r="AC166" s="4" t="s">
        <v>82</v>
      </c>
      <c r="AF166" s="7">
        <f>Table13[[#This Row],[Completion time]]-Table13[[#This Row],[Start time]]</f>
        <v>7.638888928340748E-4</v>
      </c>
      <c r="AG166" s="8">
        <f>2026-Table13[[#This Row],[What is your year of birth? ]]</f>
        <v>37</v>
      </c>
      <c r="AH166">
        <f>2026-Table13[[#This Row],[Please indicate the year you graduated from the Faculty of Medicine]]</f>
        <v>13</v>
      </c>
      <c r="AI166">
        <f t="shared" si="33"/>
        <v>1</v>
      </c>
      <c r="AJ166">
        <f t="shared" si="34"/>
        <v>1</v>
      </c>
      <c r="AK166">
        <f t="shared" si="35"/>
        <v>1</v>
      </c>
      <c r="AL166">
        <f t="shared" si="36"/>
        <v>0</v>
      </c>
      <c r="AM166">
        <f t="shared" si="37"/>
        <v>1</v>
      </c>
      <c r="AN166">
        <f t="shared" si="38"/>
        <v>1</v>
      </c>
      <c r="AO166">
        <f t="shared" si="39"/>
        <v>1</v>
      </c>
      <c r="AP166">
        <f t="shared" si="40"/>
        <v>0</v>
      </c>
      <c r="AQ166">
        <f t="shared" si="41"/>
        <v>1</v>
      </c>
      <c r="AR166">
        <f t="shared" si="42"/>
        <v>1</v>
      </c>
      <c r="AS166">
        <f t="shared" si="43"/>
        <v>0</v>
      </c>
      <c r="AT166">
        <f t="shared" si="44"/>
        <v>0</v>
      </c>
      <c r="AU166">
        <f t="shared" si="45"/>
        <v>0</v>
      </c>
      <c r="AV166">
        <f t="shared" si="46"/>
        <v>0</v>
      </c>
      <c r="AW166">
        <f t="shared" si="47"/>
        <v>1</v>
      </c>
      <c r="AX166">
        <f t="shared" si="48"/>
        <v>9</v>
      </c>
      <c r="AY166">
        <f>IF(Table13[[#This Row],[Please choose your sex]]="Male",0,1)</f>
        <v>1</v>
      </c>
      <c r="AZ166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66">
        <f>IF(Table13[[#This Row],[Do you hold a subspecialty qualification (degree / certificate) in Reproductive Endocrinology and Infertility?
]]="No",0,1)</f>
        <v>0</v>
      </c>
      <c r="BB166">
        <f>IF(Table13[[#This Row],[Do you provide clinical care for the management of infertility?]]="No",0,1)</f>
        <v>1</v>
      </c>
      <c r="BC166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66">
        <f>IF(Table13[[#This Row],[Do you have access to evidence-based clinical guidelines at your workplace?]]="No",0,1)</f>
        <v>1</v>
      </c>
      <c r="BE166">
        <f>IF(OR(Table13[[#This Row],[What is your practice setting? (Select all that apply.)]]="University hospital ;",Table13[[#This Row],[What is your practice setting? (Select all that apply.)]]="Public hospital ;"),1,0)</f>
        <v>0</v>
      </c>
      <c r="BF166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67" spans="1:58" ht="16" x14ac:dyDescent="0.2">
      <c r="A167" s="4">
        <v>166</v>
      </c>
      <c r="B167" s="5">
        <v>46221.457453703704</v>
      </c>
      <c r="C167" s="5">
        <v>46221.458553240744</v>
      </c>
      <c r="D167" s="4" t="s">
        <v>29</v>
      </c>
      <c r="E167" s="6">
        <v>1984</v>
      </c>
      <c r="F167" s="4" t="s">
        <v>30</v>
      </c>
      <c r="G167" s="6">
        <v>2008</v>
      </c>
      <c r="H167" s="4" t="s">
        <v>96</v>
      </c>
      <c r="I167" s="4" t="s">
        <v>32</v>
      </c>
      <c r="J167" s="4" t="s">
        <v>33</v>
      </c>
      <c r="K167" s="4" t="s">
        <v>42</v>
      </c>
      <c r="L167" s="4" t="s">
        <v>83</v>
      </c>
      <c r="M167" s="4" t="s">
        <v>38</v>
      </c>
      <c r="N167" s="4" t="s">
        <v>36</v>
      </c>
      <c r="O167" s="4" t="s">
        <v>36</v>
      </c>
      <c r="P167" s="4" t="s">
        <v>39</v>
      </c>
      <c r="Q167" s="4" t="s">
        <v>39</v>
      </c>
      <c r="R167" s="4" t="s">
        <v>47</v>
      </c>
      <c r="S167" s="4" t="s">
        <v>47</v>
      </c>
      <c r="T167" s="4" t="s">
        <v>38</v>
      </c>
      <c r="U167" s="4" t="s">
        <v>39</v>
      </c>
      <c r="V167" s="4" t="s">
        <v>47</v>
      </c>
      <c r="W167" s="4" t="s">
        <v>36</v>
      </c>
      <c r="X167" s="4" t="s">
        <v>36</v>
      </c>
      <c r="Y167" s="4" t="s">
        <v>39</v>
      </c>
      <c r="Z167" s="4" t="s">
        <v>37</v>
      </c>
      <c r="AA167" s="4" t="s">
        <v>47</v>
      </c>
      <c r="AB167" s="4" t="s">
        <v>32</v>
      </c>
      <c r="AC167" s="4" t="s">
        <v>57</v>
      </c>
      <c r="AF167" s="7">
        <f>Table13[[#This Row],[Completion time]]-Table13[[#This Row],[Start time]]</f>
        <v>1.0995370394084603E-3</v>
      </c>
      <c r="AG167" s="8">
        <f>2026-Table13[[#This Row],[What is your year of birth? ]]</f>
        <v>42</v>
      </c>
      <c r="AH167">
        <f>2026-Table13[[#This Row],[Please indicate the year you graduated from the Faculty of Medicine]]</f>
        <v>18</v>
      </c>
      <c r="AI167">
        <f t="shared" si="33"/>
        <v>1</v>
      </c>
      <c r="AJ167">
        <f t="shared" si="34"/>
        <v>0</v>
      </c>
      <c r="AK167">
        <f t="shared" si="35"/>
        <v>0</v>
      </c>
      <c r="AL167">
        <f t="shared" si="36"/>
        <v>0</v>
      </c>
      <c r="AM167">
        <f t="shared" si="37"/>
        <v>1</v>
      </c>
      <c r="AN167">
        <f t="shared" si="38"/>
        <v>1</v>
      </c>
      <c r="AO167">
        <f t="shared" si="39"/>
        <v>1</v>
      </c>
      <c r="AP167">
        <f t="shared" si="40"/>
        <v>1</v>
      </c>
      <c r="AQ167">
        <f t="shared" si="41"/>
        <v>1</v>
      </c>
      <c r="AR167">
        <f t="shared" si="42"/>
        <v>1</v>
      </c>
      <c r="AS167">
        <f t="shared" si="43"/>
        <v>0</v>
      </c>
      <c r="AT167">
        <f t="shared" si="44"/>
        <v>0</v>
      </c>
      <c r="AU167">
        <f t="shared" si="45"/>
        <v>0</v>
      </c>
      <c r="AV167">
        <f t="shared" si="46"/>
        <v>0</v>
      </c>
      <c r="AW167">
        <f t="shared" si="47"/>
        <v>1</v>
      </c>
      <c r="AX167">
        <f t="shared" si="48"/>
        <v>8</v>
      </c>
      <c r="AY167">
        <f>IF(Table13[[#This Row],[Please choose your sex]]="Male",0,1)</f>
        <v>0</v>
      </c>
      <c r="AZ167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67">
        <f>IF(Table13[[#This Row],[Do you hold a subspecialty qualification (degree / certificate) in Reproductive Endocrinology and Infertility?
]]="No",0,1)</f>
        <v>0</v>
      </c>
      <c r="BB167">
        <f>IF(Table13[[#This Row],[Do you provide clinical care for the management of infertility?]]="No",0,1)</f>
        <v>1</v>
      </c>
      <c r="BC167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67">
        <f>IF(Table13[[#This Row],[Do you have access to evidence-based clinical guidelines at your workplace?]]="No",0,1)</f>
        <v>0</v>
      </c>
      <c r="BE167">
        <f>IF(OR(Table13[[#This Row],[What is your practice setting? (Select all that apply.)]]="University hospital ;",Table13[[#This Row],[What is your practice setting? (Select all that apply.)]]="Public hospital ;"),1,0)</f>
        <v>0</v>
      </c>
      <c r="BF167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68" spans="1:58" ht="16" x14ac:dyDescent="0.2">
      <c r="A168" s="4">
        <v>167</v>
      </c>
      <c r="B168" s="5">
        <v>46221.7578587963</v>
      </c>
      <c r="C168" s="5">
        <v>46221.76185185185</v>
      </c>
      <c r="D168" s="4" t="s">
        <v>29</v>
      </c>
      <c r="E168" s="6">
        <v>1985</v>
      </c>
      <c r="F168" s="4" t="s">
        <v>30</v>
      </c>
      <c r="G168" s="6">
        <v>2008</v>
      </c>
      <c r="H168" s="4" t="s">
        <v>116</v>
      </c>
      <c r="I168" s="4" t="s">
        <v>33</v>
      </c>
      <c r="J168" s="4" t="s">
        <v>33</v>
      </c>
      <c r="K168" s="4" t="s">
        <v>66</v>
      </c>
      <c r="L168" s="4" t="s">
        <v>98</v>
      </c>
      <c r="M168" s="4" t="s">
        <v>38</v>
      </c>
      <c r="N168" s="4" t="s">
        <v>38</v>
      </c>
      <c r="O168" s="4" t="s">
        <v>37</v>
      </c>
      <c r="P168" s="4" t="s">
        <v>37</v>
      </c>
      <c r="Q168" s="4" t="s">
        <v>39</v>
      </c>
      <c r="R168" s="4" t="s">
        <v>47</v>
      </c>
      <c r="S168" s="4" t="s">
        <v>38</v>
      </c>
      <c r="T168" s="4" t="s">
        <v>47</v>
      </c>
      <c r="U168" s="4" t="s">
        <v>47</v>
      </c>
      <c r="V168" s="4" t="s">
        <v>38</v>
      </c>
      <c r="W168" s="4" t="s">
        <v>38</v>
      </c>
      <c r="X168" s="4" t="s">
        <v>38</v>
      </c>
      <c r="Y168" s="4" t="s">
        <v>37</v>
      </c>
      <c r="Z168" s="4" t="s">
        <v>37</v>
      </c>
      <c r="AA168" s="4" t="s">
        <v>38</v>
      </c>
      <c r="AB168" s="4" t="s">
        <v>33</v>
      </c>
      <c r="AC168" s="4" t="s">
        <v>55</v>
      </c>
      <c r="AF168" s="7">
        <f>Table13[[#This Row],[Completion time]]-Table13[[#This Row],[Start time]]</f>
        <v>3.9930555503815413E-3</v>
      </c>
      <c r="AG168" s="8">
        <f>2026-Table13[[#This Row],[What is your year of birth? ]]</f>
        <v>41</v>
      </c>
      <c r="AH168">
        <f>2026-Table13[[#This Row],[Please indicate the year you graduated from the Faculty of Medicine]]</f>
        <v>18</v>
      </c>
      <c r="AI168">
        <f t="shared" si="33"/>
        <v>1</v>
      </c>
      <c r="AJ168">
        <f t="shared" si="34"/>
        <v>1</v>
      </c>
      <c r="AK168">
        <f t="shared" si="35"/>
        <v>0</v>
      </c>
      <c r="AL168">
        <f t="shared" si="36"/>
        <v>0</v>
      </c>
      <c r="AM168">
        <f t="shared" si="37"/>
        <v>1</v>
      </c>
      <c r="AN168">
        <f t="shared" si="38"/>
        <v>1</v>
      </c>
      <c r="AO168">
        <f t="shared" si="39"/>
        <v>1</v>
      </c>
      <c r="AP168">
        <f t="shared" si="40"/>
        <v>1</v>
      </c>
      <c r="AQ168">
        <f t="shared" si="41"/>
        <v>0</v>
      </c>
      <c r="AR168">
        <f t="shared" si="42"/>
        <v>1</v>
      </c>
      <c r="AS168">
        <f t="shared" si="43"/>
        <v>1</v>
      </c>
      <c r="AT168">
        <f t="shared" si="44"/>
        <v>1</v>
      </c>
      <c r="AU168">
        <f t="shared" si="45"/>
        <v>0</v>
      </c>
      <c r="AV168">
        <f t="shared" si="46"/>
        <v>0</v>
      </c>
      <c r="AW168">
        <f t="shared" si="47"/>
        <v>1</v>
      </c>
      <c r="AX168">
        <f t="shared" si="48"/>
        <v>10</v>
      </c>
      <c r="AY168">
        <f>IF(Table13[[#This Row],[Please choose your sex]]="Male",0,1)</f>
        <v>0</v>
      </c>
      <c r="AZ168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68">
        <f>IF(Table13[[#This Row],[Do you hold a subspecialty qualification (degree / certificate) in Reproductive Endocrinology and Infertility?
]]="No",0,1)</f>
        <v>1</v>
      </c>
      <c r="BB168">
        <f>IF(Table13[[#This Row],[Do you provide clinical care for the management of infertility?]]="No",0,1)</f>
        <v>1</v>
      </c>
      <c r="BC168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1</v>
      </c>
      <c r="BD168">
        <f>IF(Table13[[#This Row],[Do you have access to evidence-based clinical guidelines at your workplace?]]="No",0,1)</f>
        <v>1</v>
      </c>
      <c r="BE168">
        <f>IF(OR(Table13[[#This Row],[What is your practice setting? (Select all that apply.)]]="University hospital ;",Table13[[#This Row],[What is your practice setting? (Select all that apply.)]]="Public hospital ;"),1,0)</f>
        <v>0</v>
      </c>
      <c r="BF168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69" spans="1:58" ht="16" x14ac:dyDescent="0.2">
      <c r="A169" s="4">
        <v>168</v>
      </c>
      <c r="B169" s="5">
        <v>46221.817372685182</v>
      </c>
      <c r="C169" s="5">
        <v>46221.819247685184</v>
      </c>
      <c r="D169" s="4" t="s">
        <v>29</v>
      </c>
      <c r="E169" s="6">
        <v>1994</v>
      </c>
      <c r="F169" s="4" t="s">
        <v>30</v>
      </c>
      <c r="G169" s="6">
        <v>2017</v>
      </c>
      <c r="H169" s="4" t="s">
        <v>50</v>
      </c>
      <c r="I169" s="4" t="s">
        <v>32</v>
      </c>
      <c r="J169" s="4" t="s">
        <v>33</v>
      </c>
      <c r="K169" s="4" t="s">
        <v>34</v>
      </c>
      <c r="L169" s="4" t="s">
        <v>43</v>
      </c>
      <c r="M169" s="4" t="s">
        <v>38</v>
      </c>
      <c r="N169" s="4" t="s">
        <v>36</v>
      </c>
      <c r="O169" s="4" t="s">
        <v>38</v>
      </c>
      <c r="P169" s="4" t="s">
        <v>37</v>
      </c>
      <c r="Q169" s="4" t="s">
        <v>37</v>
      </c>
      <c r="R169" s="4" t="s">
        <v>38</v>
      </c>
      <c r="S169" s="4" t="s">
        <v>47</v>
      </c>
      <c r="T169" s="4" t="s">
        <v>38</v>
      </c>
      <c r="U169" s="4" t="s">
        <v>37</v>
      </c>
      <c r="V169" s="4" t="s">
        <v>38</v>
      </c>
      <c r="W169" s="4" t="s">
        <v>36</v>
      </c>
      <c r="X169" s="4" t="s">
        <v>37</v>
      </c>
      <c r="Y169" s="4" t="s">
        <v>38</v>
      </c>
      <c r="Z169" s="4" t="s">
        <v>37</v>
      </c>
      <c r="AA169" s="4" t="s">
        <v>38</v>
      </c>
      <c r="AB169" s="4" t="s">
        <v>32</v>
      </c>
      <c r="AC169" s="4" t="s">
        <v>40</v>
      </c>
      <c r="AF169" s="7">
        <f>Table13[[#This Row],[Completion time]]-Table13[[#This Row],[Start time]]</f>
        <v>1.8750000017462298E-3</v>
      </c>
      <c r="AG169" s="8">
        <f>2026-Table13[[#This Row],[What is your year of birth? ]]</f>
        <v>32</v>
      </c>
      <c r="AH169">
        <f>2026-Table13[[#This Row],[Please indicate the year you graduated from the Faculty of Medicine]]</f>
        <v>9</v>
      </c>
      <c r="AI169">
        <f t="shared" si="33"/>
        <v>1</v>
      </c>
      <c r="AJ169">
        <f t="shared" si="34"/>
        <v>0</v>
      </c>
      <c r="AK169">
        <f t="shared" si="35"/>
        <v>1</v>
      </c>
      <c r="AL169">
        <f t="shared" si="36"/>
        <v>0</v>
      </c>
      <c r="AM169">
        <f t="shared" si="37"/>
        <v>1</v>
      </c>
      <c r="AN169">
        <f t="shared" si="38"/>
        <v>1</v>
      </c>
      <c r="AO169">
        <f t="shared" si="39"/>
        <v>1</v>
      </c>
      <c r="AP169">
        <f t="shared" si="40"/>
        <v>1</v>
      </c>
      <c r="AQ169">
        <f t="shared" si="41"/>
        <v>1</v>
      </c>
      <c r="AR169">
        <f t="shared" si="42"/>
        <v>1</v>
      </c>
      <c r="AS169">
        <f t="shared" si="43"/>
        <v>0</v>
      </c>
      <c r="AT169">
        <f t="shared" si="44"/>
        <v>0</v>
      </c>
      <c r="AU169">
        <f t="shared" si="45"/>
        <v>1</v>
      </c>
      <c r="AV169">
        <f t="shared" si="46"/>
        <v>0</v>
      </c>
      <c r="AW169">
        <f t="shared" si="47"/>
        <v>1</v>
      </c>
      <c r="AX169">
        <f t="shared" si="48"/>
        <v>10</v>
      </c>
      <c r="AY169">
        <f>IF(Table13[[#This Row],[Please choose your sex]]="Male",0,1)</f>
        <v>0</v>
      </c>
      <c r="AZ169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0</v>
      </c>
      <c r="BA169">
        <f>IF(Table13[[#This Row],[Do you hold a subspecialty qualification (degree / certificate) in Reproductive Endocrinology and Infertility?
]]="No",0,1)</f>
        <v>0</v>
      </c>
      <c r="BB169">
        <f>IF(Table13[[#This Row],[Do you provide clinical care for the management of infertility?]]="No",0,1)</f>
        <v>1</v>
      </c>
      <c r="BC169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0</v>
      </c>
      <c r="BD169">
        <f>IF(Table13[[#This Row],[Do you have access to evidence-based clinical guidelines at your workplace?]]="No",0,1)</f>
        <v>0</v>
      </c>
      <c r="BE169">
        <f>IF(OR(Table13[[#This Row],[What is your practice setting? (Select all that apply.)]]="University hospital ;",Table13[[#This Row],[What is your practice setting? (Select all that apply.)]]="Public hospital ;"),1,0)</f>
        <v>1</v>
      </c>
      <c r="BF169">
        <f>IF(OR(Table13[[#This Row],[What is your practice setting? (Select all that apply.)]]="Private clinic;",Table13[[#This Row],[What is your practice setting? (Select all that apply.)]]="Private hospital/center ;"),1,0)</f>
        <v>0</v>
      </c>
    </row>
    <row r="170" spans="1:58" ht="16" x14ac:dyDescent="0.2">
      <c r="A170" s="4">
        <v>169</v>
      </c>
      <c r="B170" s="5">
        <v>46221.830891203703</v>
      </c>
      <c r="C170" s="5">
        <v>46221.831886574073</v>
      </c>
      <c r="D170" s="4" t="s">
        <v>29</v>
      </c>
      <c r="E170" s="6">
        <v>1980</v>
      </c>
      <c r="F170" s="4" t="s">
        <v>30</v>
      </c>
      <c r="G170" s="6">
        <v>2004</v>
      </c>
      <c r="H170" s="4" t="s">
        <v>77</v>
      </c>
      <c r="I170" s="4" t="s">
        <v>32</v>
      </c>
      <c r="J170" s="4" t="s">
        <v>33</v>
      </c>
      <c r="K170" s="4" t="s">
        <v>42</v>
      </c>
      <c r="L170" s="4" t="s">
        <v>46</v>
      </c>
      <c r="M170" s="4" t="s">
        <v>47</v>
      </c>
      <c r="N170" s="4" t="s">
        <v>37</v>
      </c>
      <c r="O170" s="4" t="s">
        <v>47</v>
      </c>
      <c r="P170" s="4" t="s">
        <v>47</v>
      </c>
      <c r="Q170" s="4" t="s">
        <v>39</v>
      </c>
      <c r="R170" s="4" t="s">
        <v>47</v>
      </c>
      <c r="S170" s="4" t="s">
        <v>47</v>
      </c>
      <c r="T170" s="4" t="s">
        <v>47</v>
      </c>
      <c r="U170" s="4" t="s">
        <v>39</v>
      </c>
      <c r="V170" s="4" t="s">
        <v>47</v>
      </c>
      <c r="W170" s="4" t="s">
        <v>47</v>
      </c>
      <c r="X170" s="4" t="s">
        <v>36</v>
      </c>
      <c r="Y170" s="4" t="s">
        <v>39</v>
      </c>
      <c r="Z170" s="4" t="s">
        <v>37</v>
      </c>
      <c r="AA170" s="4" t="s">
        <v>47</v>
      </c>
      <c r="AB170" s="4" t="s">
        <v>33</v>
      </c>
      <c r="AC170" s="4" t="s">
        <v>82</v>
      </c>
      <c r="AF170" s="7">
        <f>Table13[[#This Row],[Completion time]]-Table13[[#This Row],[Start time]]</f>
        <v>9.9537037021946162E-4</v>
      </c>
      <c r="AG170" s="8">
        <f>2026-Table13[[#This Row],[What is your year of birth? ]]</f>
        <v>46</v>
      </c>
      <c r="AH170">
        <f>2026-Table13[[#This Row],[Please indicate the year you graduated from the Faculty of Medicine]]</f>
        <v>22</v>
      </c>
      <c r="AI170">
        <f t="shared" si="33"/>
        <v>1</v>
      </c>
      <c r="AJ170">
        <f t="shared" si="34"/>
        <v>0</v>
      </c>
      <c r="AK170">
        <f t="shared" si="35"/>
        <v>1</v>
      </c>
      <c r="AL170">
        <f t="shared" si="36"/>
        <v>1</v>
      </c>
      <c r="AM170">
        <f t="shared" si="37"/>
        <v>1</v>
      </c>
      <c r="AN170">
        <f t="shared" si="38"/>
        <v>1</v>
      </c>
      <c r="AO170">
        <f t="shared" si="39"/>
        <v>1</v>
      </c>
      <c r="AP170">
        <f t="shared" si="40"/>
        <v>1</v>
      </c>
      <c r="AQ170">
        <f t="shared" si="41"/>
        <v>1</v>
      </c>
      <c r="AR170">
        <f t="shared" si="42"/>
        <v>1</v>
      </c>
      <c r="AS170">
        <f t="shared" si="43"/>
        <v>1</v>
      </c>
      <c r="AT170">
        <f t="shared" si="44"/>
        <v>0</v>
      </c>
      <c r="AU170">
        <f t="shared" si="45"/>
        <v>0</v>
      </c>
      <c r="AV170">
        <f t="shared" si="46"/>
        <v>0</v>
      </c>
      <c r="AW170">
        <f t="shared" si="47"/>
        <v>1</v>
      </c>
      <c r="AX170">
        <f t="shared" si="48"/>
        <v>11</v>
      </c>
      <c r="AY170">
        <f>IF(Table13[[#This Row],[Please choose your sex]]="Male",0,1)</f>
        <v>0</v>
      </c>
      <c r="AZ170">
        <f>IF(OR(Table13[[#This Row],[Please indicate your postgraduate qualification(s): (Select all that apply.)]]="Master of Science;", Table13[[#This Row],[Please indicate your postgraduate qualification(s): (Select all that apply.)]]="Diploma;", Table13[[#This Row],[Please indicate your postgraduate qualification(s): (Select all that apply.)]]="Egyptian Board"), 0,1)</f>
        <v>1</v>
      </c>
      <c r="BA170">
        <f>IF(Table13[[#This Row],[Do you hold a subspecialty qualification (degree / certificate) in Reproductive Endocrinology and Infertility?
]]="No",0,1)</f>
        <v>0</v>
      </c>
      <c r="BB170">
        <f>IF(Table13[[#This Row],[Do you provide clinical care for the management of infertility?]]="No",0,1)</f>
        <v>1</v>
      </c>
      <c r="BC170">
        <f>IF(Table13[[#This Row],[If yes, for how long have you been providing care for infertility management?
]]="Less than 5 years",0,IF(Table13[[#This Row],[If yes, for how long have you been providing care for infertility management?
]]="Five to ten years",1,2))</f>
        <v>2</v>
      </c>
      <c r="BD170">
        <f>IF(Table13[[#This Row],[Do you have access to evidence-based clinical guidelines at your workplace?]]="No",0,1)</f>
        <v>1</v>
      </c>
      <c r="BE170">
        <f>IF(OR(Table13[[#This Row],[What is your practice setting? (Select all that apply.)]]="University hospital ;",Table13[[#This Row],[What is your practice setting? (Select all that apply.)]]="Public hospital ;"),1,0)</f>
        <v>0</v>
      </c>
      <c r="BF170">
        <f>IF(OR(Table13[[#This Row],[What is your practice setting? (Select all that apply.)]]="Private clinic;",Table13[[#This Row],[What is your practice setting? (Select all that apply.)]]="Private hospital/center ;"),1,0)</f>
        <v>0</v>
      </c>
    </row>
  </sheetData>
  <pageMargins left="0.7" right="0.7" top="0.75" bottom="0.75" header="0.3" footer="0.3"/>
  <ignoredErrors>
    <ignoredError sqref="AM2 AM3:AM170 AQ2:AQ170" formula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9E25-E301-CE4C-9700-422710E3F014}">
  <sheetPr>
    <tabColor theme="9" tint="-0.249977111117893"/>
  </sheetPr>
  <dimension ref="A1:AA171"/>
  <sheetViews>
    <sheetView workbookViewId="0">
      <selection activeCell="A102" sqref="A102"/>
    </sheetView>
  </sheetViews>
  <sheetFormatPr baseColWidth="10" defaultRowHeight="15" x14ac:dyDescent="0.2"/>
  <cols>
    <col min="2" max="2" width="19.6640625" customWidth="1"/>
  </cols>
  <sheetData>
    <row r="1" spans="1:27" x14ac:dyDescent="0.2">
      <c r="A1" t="s">
        <v>144</v>
      </c>
      <c r="B1" t="s">
        <v>118</v>
      </c>
      <c r="C1" t="s">
        <v>117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  <c r="S1" t="s">
        <v>134</v>
      </c>
      <c r="T1" t="s">
        <v>135</v>
      </c>
      <c r="U1" t="s">
        <v>138</v>
      </c>
      <c r="V1" t="s">
        <v>140</v>
      </c>
      <c r="W1" t="s">
        <v>136</v>
      </c>
      <c r="X1" t="s">
        <v>141</v>
      </c>
      <c r="Y1" t="s">
        <v>142</v>
      </c>
      <c r="Z1" t="s">
        <v>137</v>
      </c>
      <c r="AA1" t="s">
        <v>143</v>
      </c>
    </row>
    <row r="2" spans="1:27" x14ac:dyDescent="0.2">
      <c r="A2">
        <v>1</v>
      </c>
      <c r="B2" s="10">
        <v>3.06</v>
      </c>
      <c r="C2">
        <v>31</v>
      </c>
      <c r="D2">
        <v>7</v>
      </c>
      <c r="E2">
        <v>0</v>
      </c>
      <c r="F2">
        <v>0</v>
      </c>
      <c r="G2">
        <v>1</v>
      </c>
      <c r="H2">
        <v>0</v>
      </c>
      <c r="I2">
        <v>1</v>
      </c>
      <c r="J2">
        <v>0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1</v>
      </c>
      <c r="R2">
        <v>0</v>
      </c>
      <c r="S2">
        <v>0</v>
      </c>
      <c r="T2">
        <v>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</row>
    <row r="3" spans="1:27" x14ac:dyDescent="0.2">
      <c r="A3">
        <v>2</v>
      </c>
      <c r="B3" s="10">
        <v>4.01</v>
      </c>
      <c r="C3">
        <v>31</v>
      </c>
      <c r="D3">
        <v>6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</v>
      </c>
      <c r="U3">
        <v>1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</row>
    <row r="4" spans="1:27" x14ac:dyDescent="0.2">
      <c r="A4">
        <v>3</v>
      </c>
      <c r="B4" s="10">
        <v>14.45</v>
      </c>
      <c r="C4">
        <v>32</v>
      </c>
      <c r="D4">
        <v>8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</row>
    <row r="5" spans="1:27" x14ac:dyDescent="0.2">
      <c r="A5">
        <v>4</v>
      </c>
      <c r="B5" s="10">
        <v>10.25</v>
      </c>
      <c r="C5">
        <v>30</v>
      </c>
      <c r="D5">
        <v>6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4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1</v>
      </c>
    </row>
    <row r="6" spans="1:27" x14ac:dyDescent="0.2">
      <c r="A6">
        <v>5</v>
      </c>
      <c r="B6" s="10">
        <v>3.29</v>
      </c>
      <c r="C6">
        <v>35</v>
      </c>
      <c r="D6">
        <v>11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8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6</v>
      </c>
      <c r="B7" s="10">
        <v>2.17</v>
      </c>
      <c r="C7">
        <v>38</v>
      </c>
      <c r="D7">
        <v>14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1</v>
      </c>
      <c r="T7">
        <v>12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7</v>
      </c>
      <c r="B8" s="10">
        <v>1.52</v>
      </c>
      <c r="C8">
        <v>36</v>
      </c>
      <c r="D8">
        <v>11</v>
      </c>
      <c r="E8">
        <v>1</v>
      </c>
      <c r="F8">
        <v>0</v>
      </c>
      <c r="G8">
        <v>0</v>
      </c>
      <c r="H8">
        <v>1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1</v>
      </c>
      <c r="S8">
        <v>1</v>
      </c>
      <c r="T8">
        <v>11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8</v>
      </c>
      <c r="B9" s="10">
        <v>3.4</v>
      </c>
      <c r="C9">
        <v>29</v>
      </c>
      <c r="D9">
        <v>6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</row>
    <row r="10" spans="1:27" x14ac:dyDescent="0.2">
      <c r="A10">
        <v>9</v>
      </c>
      <c r="B10" s="10">
        <v>3.31</v>
      </c>
      <c r="C10">
        <v>33</v>
      </c>
      <c r="D10">
        <v>9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>
        <v>1</v>
      </c>
      <c r="N10">
        <v>0</v>
      </c>
      <c r="O10">
        <v>1</v>
      </c>
      <c r="P10">
        <v>0</v>
      </c>
      <c r="Q10">
        <v>1</v>
      </c>
      <c r="R10">
        <v>0</v>
      </c>
      <c r="S10">
        <v>1</v>
      </c>
      <c r="T10">
        <v>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10</v>
      </c>
      <c r="B11" s="10">
        <v>7.26</v>
      </c>
      <c r="C11">
        <v>32</v>
      </c>
      <c r="D11">
        <v>8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1</v>
      </c>
    </row>
    <row r="12" spans="1:27" x14ac:dyDescent="0.2">
      <c r="A12">
        <v>11</v>
      </c>
      <c r="B12" s="10">
        <v>44.38</v>
      </c>
      <c r="C12">
        <v>65</v>
      </c>
      <c r="D12">
        <v>42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14</v>
      </c>
      <c r="U12">
        <v>1</v>
      </c>
      <c r="V12">
        <v>1</v>
      </c>
      <c r="W12">
        <v>0</v>
      </c>
      <c r="X12">
        <v>0</v>
      </c>
      <c r="Y12">
        <v>0</v>
      </c>
      <c r="Z12">
        <v>1</v>
      </c>
      <c r="AA12">
        <v>1</v>
      </c>
    </row>
    <row r="13" spans="1:27" x14ac:dyDescent="0.2">
      <c r="A13">
        <v>12</v>
      </c>
      <c r="B13" s="10">
        <v>7.48</v>
      </c>
      <c r="C13">
        <v>56</v>
      </c>
      <c r="D13">
        <v>32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1</v>
      </c>
      <c r="V13">
        <v>1</v>
      </c>
      <c r="W13">
        <v>0</v>
      </c>
      <c r="X13">
        <v>1</v>
      </c>
      <c r="Y13">
        <v>2</v>
      </c>
      <c r="Z13">
        <v>1</v>
      </c>
      <c r="AA13">
        <v>1</v>
      </c>
    </row>
    <row r="14" spans="1:27" x14ac:dyDescent="0.2">
      <c r="A14">
        <v>13</v>
      </c>
      <c r="B14" s="10">
        <v>9.14</v>
      </c>
      <c r="C14">
        <v>64</v>
      </c>
      <c r="D14">
        <v>39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>
        <v>1</v>
      </c>
      <c r="V14">
        <v>1</v>
      </c>
      <c r="W14">
        <v>1</v>
      </c>
      <c r="X14">
        <v>0</v>
      </c>
      <c r="Y14">
        <v>0</v>
      </c>
      <c r="Z14">
        <v>1</v>
      </c>
      <c r="AA14">
        <v>1</v>
      </c>
    </row>
    <row r="15" spans="1:27" x14ac:dyDescent="0.2">
      <c r="A15">
        <v>14</v>
      </c>
      <c r="B15" s="10">
        <v>3.32</v>
      </c>
      <c r="C15">
        <v>61</v>
      </c>
      <c r="D15">
        <v>38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2</v>
      </c>
      <c r="U15">
        <v>1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</row>
    <row r="16" spans="1:27" x14ac:dyDescent="0.2">
      <c r="A16">
        <v>15</v>
      </c>
      <c r="B16" s="10">
        <v>2.37</v>
      </c>
      <c r="C16">
        <v>30</v>
      </c>
      <c r="D16">
        <v>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</row>
    <row r="17" spans="1:27" x14ac:dyDescent="0.2">
      <c r="A17">
        <v>16</v>
      </c>
      <c r="B17" s="10">
        <v>3.48</v>
      </c>
      <c r="C17">
        <v>30</v>
      </c>
      <c r="D17">
        <v>30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 x14ac:dyDescent="0.2">
      <c r="A18">
        <v>17</v>
      </c>
      <c r="B18" s="10">
        <v>7.35</v>
      </c>
      <c r="C18">
        <v>46</v>
      </c>
      <c r="D18">
        <v>23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5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</row>
    <row r="19" spans="1:27" x14ac:dyDescent="0.2">
      <c r="A19">
        <v>18</v>
      </c>
      <c r="B19" s="10">
        <v>1.3</v>
      </c>
      <c r="C19">
        <v>30</v>
      </c>
      <c r="D19">
        <v>6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</row>
    <row r="20" spans="1:27" x14ac:dyDescent="0.2">
      <c r="A20">
        <v>19</v>
      </c>
      <c r="B20" s="10">
        <v>14.09</v>
      </c>
      <c r="C20">
        <v>31</v>
      </c>
      <c r="D20">
        <v>8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</row>
    <row r="21" spans="1:27" x14ac:dyDescent="0.2">
      <c r="A21">
        <v>20</v>
      </c>
      <c r="B21" s="10">
        <v>9.32</v>
      </c>
      <c r="C21">
        <v>34</v>
      </c>
      <c r="D21">
        <v>8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2</v>
      </c>
      <c r="U21">
        <v>1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</row>
    <row r="22" spans="1:27" x14ac:dyDescent="0.2">
      <c r="A22">
        <v>21</v>
      </c>
      <c r="B22" s="10">
        <v>7.12</v>
      </c>
      <c r="C22">
        <v>34</v>
      </c>
      <c r="D22">
        <v>9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6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</row>
    <row r="23" spans="1:27" x14ac:dyDescent="0.2">
      <c r="A23">
        <v>22</v>
      </c>
      <c r="B23" s="10">
        <v>4.57</v>
      </c>
      <c r="C23">
        <v>46</v>
      </c>
      <c r="D23">
        <v>23</v>
      </c>
      <c r="E23">
        <v>1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5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</row>
    <row r="24" spans="1:27" x14ac:dyDescent="0.2">
      <c r="A24">
        <v>23</v>
      </c>
      <c r="B24" s="10">
        <v>5.3</v>
      </c>
      <c r="C24">
        <v>31</v>
      </c>
      <c r="D24">
        <v>9</v>
      </c>
      <c r="E24">
        <v>1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6</v>
      </c>
      <c r="U24">
        <v>1</v>
      </c>
      <c r="V24">
        <v>0</v>
      </c>
      <c r="W24">
        <v>0</v>
      </c>
      <c r="X24">
        <v>0</v>
      </c>
      <c r="Y24">
        <v>0</v>
      </c>
      <c r="Z24">
        <v>1</v>
      </c>
      <c r="AA24">
        <v>1</v>
      </c>
    </row>
    <row r="25" spans="1:27" x14ac:dyDescent="0.2">
      <c r="A25">
        <v>24</v>
      </c>
      <c r="B25" s="10">
        <v>11.43</v>
      </c>
      <c r="C25">
        <v>35</v>
      </c>
      <c r="D25">
        <v>13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4</v>
      </c>
      <c r="U25">
        <v>1</v>
      </c>
      <c r="V25">
        <v>0</v>
      </c>
      <c r="W25">
        <v>1</v>
      </c>
      <c r="X25">
        <v>0</v>
      </c>
      <c r="Y25">
        <v>0</v>
      </c>
      <c r="Z25">
        <v>1</v>
      </c>
      <c r="AA25">
        <v>1</v>
      </c>
    </row>
    <row r="26" spans="1:27" x14ac:dyDescent="0.2">
      <c r="A26">
        <v>25</v>
      </c>
      <c r="B26" s="10">
        <v>7.25</v>
      </c>
      <c r="C26">
        <v>35</v>
      </c>
      <c r="D26">
        <v>8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26</v>
      </c>
      <c r="B27" s="10">
        <v>4.43</v>
      </c>
      <c r="C27">
        <v>29</v>
      </c>
      <c r="D27">
        <v>6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1</v>
      </c>
      <c r="T27">
        <v>4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27</v>
      </c>
      <c r="B28" s="10">
        <v>3.55</v>
      </c>
      <c r="C28">
        <v>47</v>
      </c>
      <c r="D28">
        <v>24</v>
      </c>
      <c r="E28">
        <v>0</v>
      </c>
      <c r="F28">
        <v>0</v>
      </c>
      <c r="G28">
        <v>1</v>
      </c>
      <c r="H28">
        <v>1</v>
      </c>
      <c r="I28">
        <v>1</v>
      </c>
      <c r="J28">
        <v>1</v>
      </c>
      <c r="K28">
        <v>0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  <c r="S28">
        <v>1</v>
      </c>
      <c r="T28">
        <v>10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</row>
    <row r="29" spans="1:27" x14ac:dyDescent="0.2">
      <c r="A29">
        <v>28</v>
      </c>
      <c r="B29" s="10">
        <v>2.4500000000000002</v>
      </c>
      <c r="C29">
        <v>36</v>
      </c>
      <c r="D29">
        <v>12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15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1</v>
      </c>
    </row>
    <row r="30" spans="1:27" x14ac:dyDescent="0.2">
      <c r="A30">
        <v>29</v>
      </c>
      <c r="B30" s="10">
        <v>4.24</v>
      </c>
      <c r="C30">
        <v>32</v>
      </c>
      <c r="D30">
        <v>16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0</v>
      </c>
      <c r="M30">
        <v>1</v>
      </c>
      <c r="N30">
        <v>1</v>
      </c>
      <c r="O30">
        <v>1</v>
      </c>
      <c r="P30">
        <v>0</v>
      </c>
      <c r="Q30">
        <v>0</v>
      </c>
      <c r="R30">
        <v>0</v>
      </c>
      <c r="S30">
        <v>1</v>
      </c>
      <c r="T30">
        <v>7</v>
      </c>
      <c r="U30">
        <v>0</v>
      </c>
      <c r="V30">
        <v>1</v>
      </c>
      <c r="W30">
        <v>0</v>
      </c>
      <c r="X30">
        <v>1</v>
      </c>
      <c r="Y30">
        <v>0</v>
      </c>
      <c r="Z30">
        <v>1</v>
      </c>
      <c r="AA30">
        <v>1</v>
      </c>
    </row>
    <row r="31" spans="1:27" x14ac:dyDescent="0.2">
      <c r="A31">
        <v>30</v>
      </c>
      <c r="B31" s="10">
        <v>5.23</v>
      </c>
      <c r="C31">
        <v>41</v>
      </c>
      <c r="D31">
        <v>18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10</v>
      </c>
      <c r="U31">
        <v>0</v>
      </c>
      <c r="V31">
        <v>1</v>
      </c>
      <c r="W31">
        <v>0</v>
      </c>
      <c r="X31">
        <v>1</v>
      </c>
      <c r="Y31">
        <v>2</v>
      </c>
      <c r="Z31">
        <v>1</v>
      </c>
      <c r="AA31">
        <v>0</v>
      </c>
    </row>
    <row r="32" spans="1:27" x14ac:dyDescent="0.2">
      <c r="A32">
        <v>31</v>
      </c>
      <c r="B32" s="10">
        <v>2.5299999999999998</v>
      </c>
      <c r="C32">
        <v>34</v>
      </c>
      <c r="D32">
        <v>11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0</v>
      </c>
      <c r="S32">
        <v>1</v>
      </c>
      <c r="T32">
        <v>12</v>
      </c>
      <c r="U32">
        <v>1</v>
      </c>
      <c r="V32">
        <v>1</v>
      </c>
      <c r="W32">
        <v>0</v>
      </c>
      <c r="X32">
        <v>1</v>
      </c>
      <c r="Y32">
        <v>0</v>
      </c>
      <c r="Z32">
        <v>0</v>
      </c>
      <c r="AA32">
        <v>1</v>
      </c>
    </row>
    <row r="33" spans="1:27" x14ac:dyDescent="0.2">
      <c r="A33">
        <v>32</v>
      </c>
      <c r="B33" s="10">
        <v>5.23</v>
      </c>
      <c r="C33">
        <v>37</v>
      </c>
      <c r="D33">
        <v>14</v>
      </c>
      <c r="E33">
        <v>1</v>
      </c>
      <c r="F33">
        <v>0</v>
      </c>
      <c r="G33">
        <v>0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1</v>
      </c>
      <c r="T33">
        <v>11</v>
      </c>
      <c r="U33">
        <v>0</v>
      </c>
      <c r="V33">
        <v>1</v>
      </c>
      <c r="W33">
        <v>1</v>
      </c>
      <c r="X33">
        <v>1</v>
      </c>
      <c r="Y33">
        <v>1</v>
      </c>
      <c r="Z33">
        <v>1</v>
      </c>
      <c r="AA33">
        <v>0</v>
      </c>
    </row>
    <row r="34" spans="1:27" x14ac:dyDescent="0.2">
      <c r="A34">
        <v>33</v>
      </c>
      <c r="B34" s="10">
        <v>7.43</v>
      </c>
      <c r="C34">
        <v>30</v>
      </c>
      <c r="D34">
        <v>6</v>
      </c>
      <c r="E34">
        <v>0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8</v>
      </c>
      <c r="U34">
        <v>1</v>
      </c>
      <c r="V34">
        <v>1</v>
      </c>
      <c r="W34">
        <v>0</v>
      </c>
      <c r="X34">
        <v>1</v>
      </c>
      <c r="Y34">
        <v>0</v>
      </c>
      <c r="Z34">
        <v>0</v>
      </c>
      <c r="AA34">
        <v>0</v>
      </c>
    </row>
    <row r="35" spans="1:27" x14ac:dyDescent="0.2">
      <c r="A35">
        <v>34</v>
      </c>
      <c r="B35" s="10">
        <v>4.57</v>
      </c>
      <c r="C35">
        <v>30</v>
      </c>
      <c r="D35">
        <v>6</v>
      </c>
      <c r="E35">
        <v>1</v>
      </c>
      <c r="F35">
        <v>0</v>
      </c>
      <c r="G35">
        <v>0</v>
      </c>
      <c r="H35">
        <v>1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1</v>
      </c>
      <c r="T35">
        <v>9</v>
      </c>
      <c r="U35">
        <v>0</v>
      </c>
      <c r="V35">
        <v>0</v>
      </c>
      <c r="W35">
        <v>1</v>
      </c>
      <c r="X35">
        <v>1</v>
      </c>
      <c r="Y35">
        <v>0</v>
      </c>
      <c r="Z35">
        <v>1</v>
      </c>
      <c r="AA35">
        <v>0</v>
      </c>
    </row>
    <row r="36" spans="1:27" x14ac:dyDescent="0.2">
      <c r="A36">
        <v>35</v>
      </c>
      <c r="B36" s="10">
        <v>2.58</v>
      </c>
      <c r="C36">
        <v>44</v>
      </c>
      <c r="D36">
        <v>18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1</v>
      </c>
      <c r="N36">
        <v>1</v>
      </c>
      <c r="O36">
        <v>1</v>
      </c>
      <c r="P36">
        <v>1</v>
      </c>
      <c r="Q36">
        <v>0</v>
      </c>
      <c r="R36">
        <v>0</v>
      </c>
      <c r="S36">
        <v>0</v>
      </c>
      <c r="T36">
        <v>6</v>
      </c>
      <c r="U36">
        <v>0</v>
      </c>
      <c r="V36">
        <v>1</v>
      </c>
      <c r="W36">
        <v>0</v>
      </c>
      <c r="X36">
        <v>1</v>
      </c>
      <c r="Y36">
        <v>2</v>
      </c>
      <c r="Z36">
        <v>1</v>
      </c>
      <c r="AA36">
        <v>1</v>
      </c>
    </row>
    <row r="37" spans="1:27" x14ac:dyDescent="0.2">
      <c r="A37">
        <v>36</v>
      </c>
      <c r="B37" s="10">
        <v>4.4000000000000004</v>
      </c>
      <c r="C37">
        <v>68</v>
      </c>
      <c r="D37">
        <v>45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13</v>
      </c>
      <c r="U37">
        <v>0</v>
      </c>
      <c r="V37">
        <v>1</v>
      </c>
      <c r="W37">
        <v>0</v>
      </c>
      <c r="X37">
        <v>1</v>
      </c>
      <c r="Y37">
        <v>2</v>
      </c>
      <c r="Z37">
        <v>1</v>
      </c>
      <c r="AA37">
        <v>1</v>
      </c>
    </row>
    <row r="38" spans="1:27" x14ac:dyDescent="0.2">
      <c r="A38">
        <v>37</v>
      </c>
      <c r="B38" s="10">
        <v>7.08</v>
      </c>
      <c r="C38">
        <v>38</v>
      </c>
      <c r="D38">
        <v>14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0</v>
      </c>
      <c r="M38">
        <v>1</v>
      </c>
      <c r="N38">
        <v>1</v>
      </c>
      <c r="O38">
        <v>1</v>
      </c>
      <c r="P38">
        <v>1</v>
      </c>
      <c r="Q38">
        <v>0</v>
      </c>
      <c r="R38">
        <v>1</v>
      </c>
      <c r="S38">
        <v>1</v>
      </c>
      <c r="T38">
        <v>12</v>
      </c>
      <c r="U38">
        <v>0</v>
      </c>
      <c r="V38">
        <v>1</v>
      </c>
      <c r="W38">
        <v>1</v>
      </c>
      <c r="X38">
        <v>1</v>
      </c>
      <c r="Y38">
        <v>2</v>
      </c>
      <c r="Z38">
        <v>1</v>
      </c>
      <c r="AA38">
        <v>1</v>
      </c>
    </row>
    <row r="39" spans="1:27" x14ac:dyDescent="0.2">
      <c r="A39">
        <v>38</v>
      </c>
      <c r="B39" s="10">
        <v>3.3</v>
      </c>
      <c r="C39">
        <v>35</v>
      </c>
      <c r="D39">
        <v>11</v>
      </c>
      <c r="E39">
        <v>1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1</v>
      </c>
      <c r="T39">
        <v>8</v>
      </c>
      <c r="U39">
        <v>0</v>
      </c>
      <c r="V39">
        <v>1</v>
      </c>
      <c r="W39">
        <v>0</v>
      </c>
      <c r="X39">
        <v>1</v>
      </c>
      <c r="Y39">
        <v>0</v>
      </c>
      <c r="Z39">
        <v>1</v>
      </c>
      <c r="AA39">
        <v>1</v>
      </c>
    </row>
    <row r="40" spans="1:27" x14ac:dyDescent="0.2">
      <c r="A40">
        <v>39</v>
      </c>
      <c r="B40" s="10">
        <v>2.27</v>
      </c>
      <c r="C40">
        <v>35</v>
      </c>
      <c r="D40">
        <v>12</v>
      </c>
      <c r="E40">
        <v>0</v>
      </c>
      <c r="F40">
        <v>1</v>
      </c>
      <c r="G40">
        <v>0</v>
      </c>
      <c r="H40">
        <v>0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0</v>
      </c>
      <c r="S40">
        <v>1</v>
      </c>
      <c r="T40">
        <v>9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</row>
    <row r="41" spans="1:27" x14ac:dyDescent="0.2">
      <c r="A41">
        <v>40</v>
      </c>
      <c r="B41" s="10">
        <v>2.2999999999999998</v>
      </c>
      <c r="C41">
        <v>34</v>
      </c>
      <c r="D41">
        <v>11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14</v>
      </c>
      <c r="U41">
        <v>0</v>
      </c>
      <c r="V41">
        <v>1</v>
      </c>
      <c r="W41">
        <v>0</v>
      </c>
      <c r="X41">
        <v>1</v>
      </c>
      <c r="Y41">
        <v>0</v>
      </c>
      <c r="Z41">
        <v>1</v>
      </c>
      <c r="AA41">
        <v>1</v>
      </c>
    </row>
    <row r="42" spans="1:27" x14ac:dyDescent="0.2">
      <c r="A42">
        <v>41</v>
      </c>
      <c r="B42" s="10">
        <v>5.15</v>
      </c>
      <c r="C42">
        <v>32</v>
      </c>
      <c r="D42">
        <v>32</v>
      </c>
      <c r="E42">
        <v>0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</v>
      </c>
      <c r="U42">
        <v>1</v>
      </c>
      <c r="V42">
        <v>1</v>
      </c>
      <c r="W42">
        <v>1</v>
      </c>
      <c r="X42">
        <v>1</v>
      </c>
      <c r="Y42">
        <v>0</v>
      </c>
      <c r="Z42">
        <v>0</v>
      </c>
      <c r="AA42">
        <v>0</v>
      </c>
    </row>
    <row r="43" spans="1:27" x14ac:dyDescent="0.2">
      <c r="A43">
        <v>42</v>
      </c>
      <c r="B43" s="10">
        <v>3.31</v>
      </c>
      <c r="C43">
        <v>34</v>
      </c>
      <c r="D43">
        <v>11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  <c r="Q43">
        <v>0</v>
      </c>
      <c r="R43">
        <v>0</v>
      </c>
      <c r="S43">
        <v>1</v>
      </c>
      <c r="T43">
        <v>12</v>
      </c>
      <c r="U43">
        <v>1</v>
      </c>
      <c r="V43">
        <v>1</v>
      </c>
      <c r="W43">
        <v>1</v>
      </c>
      <c r="X43">
        <v>1</v>
      </c>
      <c r="Y43">
        <v>0</v>
      </c>
      <c r="Z43">
        <v>1</v>
      </c>
      <c r="AA43">
        <v>1</v>
      </c>
    </row>
    <row r="44" spans="1:27" x14ac:dyDescent="0.2">
      <c r="A44">
        <v>43</v>
      </c>
      <c r="B44" s="10">
        <v>37.49</v>
      </c>
      <c r="C44">
        <v>35</v>
      </c>
      <c r="D44">
        <v>11</v>
      </c>
      <c r="E44">
        <v>1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9</v>
      </c>
      <c r="U44">
        <v>0</v>
      </c>
      <c r="V44">
        <v>1</v>
      </c>
      <c r="W44">
        <v>0</v>
      </c>
      <c r="X44">
        <v>1</v>
      </c>
      <c r="Y44">
        <v>0</v>
      </c>
      <c r="Z44">
        <v>1</v>
      </c>
      <c r="AA44">
        <v>0</v>
      </c>
    </row>
    <row r="45" spans="1:27" x14ac:dyDescent="0.2">
      <c r="A45">
        <v>44</v>
      </c>
      <c r="B45" s="10">
        <v>3.31</v>
      </c>
      <c r="C45">
        <v>37</v>
      </c>
      <c r="D45">
        <v>13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15</v>
      </c>
      <c r="U45">
        <v>0</v>
      </c>
      <c r="V45">
        <v>1</v>
      </c>
      <c r="W45">
        <v>1</v>
      </c>
      <c r="X45">
        <v>1</v>
      </c>
      <c r="Y45">
        <v>1</v>
      </c>
      <c r="Z45">
        <v>1</v>
      </c>
      <c r="AA45">
        <v>0</v>
      </c>
    </row>
    <row r="46" spans="1:27" x14ac:dyDescent="0.2">
      <c r="A46">
        <v>45</v>
      </c>
      <c r="B46" s="10">
        <v>3.39</v>
      </c>
      <c r="C46">
        <v>52</v>
      </c>
      <c r="D46">
        <v>29</v>
      </c>
      <c r="E46">
        <v>1</v>
      </c>
      <c r="F46">
        <v>1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1</v>
      </c>
      <c r="R46">
        <v>1</v>
      </c>
      <c r="S46">
        <v>1</v>
      </c>
      <c r="T46">
        <v>10</v>
      </c>
      <c r="U46">
        <v>0</v>
      </c>
      <c r="V46">
        <v>1</v>
      </c>
      <c r="W46">
        <v>1</v>
      </c>
      <c r="X46">
        <v>1</v>
      </c>
      <c r="Y46">
        <v>2</v>
      </c>
      <c r="Z46">
        <v>0</v>
      </c>
      <c r="AA46">
        <v>1</v>
      </c>
    </row>
    <row r="47" spans="1:27" x14ac:dyDescent="0.2">
      <c r="A47">
        <v>46</v>
      </c>
      <c r="B47" s="10">
        <v>2.54</v>
      </c>
      <c r="C47">
        <v>35</v>
      </c>
      <c r="D47">
        <v>12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0</v>
      </c>
      <c r="S47">
        <v>1</v>
      </c>
      <c r="T47">
        <v>12</v>
      </c>
      <c r="U47">
        <v>0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 x14ac:dyDescent="0.2">
      <c r="A48">
        <v>47</v>
      </c>
      <c r="B48" s="10">
        <v>7.14</v>
      </c>
      <c r="C48">
        <v>33</v>
      </c>
      <c r="D48">
        <v>11</v>
      </c>
      <c r="E48">
        <v>1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4</v>
      </c>
      <c r="U48">
        <v>0</v>
      </c>
      <c r="V48">
        <v>1</v>
      </c>
      <c r="W48">
        <v>0</v>
      </c>
      <c r="X48">
        <v>1</v>
      </c>
      <c r="Y48">
        <v>0</v>
      </c>
      <c r="Z48">
        <v>1</v>
      </c>
      <c r="AA48">
        <v>1</v>
      </c>
    </row>
    <row r="49" spans="1:27" x14ac:dyDescent="0.2">
      <c r="A49">
        <v>48</v>
      </c>
      <c r="B49" s="10">
        <v>1.43</v>
      </c>
      <c r="C49">
        <v>30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1</v>
      </c>
    </row>
    <row r="50" spans="1:27" x14ac:dyDescent="0.2">
      <c r="A50">
        <v>49</v>
      </c>
      <c r="B50" s="10">
        <v>4.12</v>
      </c>
      <c r="C50">
        <v>34</v>
      </c>
      <c r="D50">
        <v>11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  <c r="Q50">
        <v>0</v>
      </c>
      <c r="R50">
        <v>1</v>
      </c>
      <c r="S50">
        <v>1</v>
      </c>
      <c r="T50">
        <v>13</v>
      </c>
      <c r="U50">
        <v>0</v>
      </c>
      <c r="V50">
        <v>1</v>
      </c>
      <c r="W50">
        <v>0</v>
      </c>
      <c r="X50">
        <v>1</v>
      </c>
      <c r="Y50">
        <v>0</v>
      </c>
      <c r="Z50">
        <v>1</v>
      </c>
      <c r="AA50">
        <v>1</v>
      </c>
    </row>
    <row r="51" spans="1:27" x14ac:dyDescent="0.2">
      <c r="A51">
        <v>50</v>
      </c>
      <c r="B51" s="10">
        <v>5.53</v>
      </c>
      <c r="C51">
        <v>44</v>
      </c>
      <c r="D51">
        <v>20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0</v>
      </c>
      <c r="R51">
        <v>1</v>
      </c>
      <c r="S51">
        <v>1</v>
      </c>
      <c r="T51">
        <v>14</v>
      </c>
      <c r="U51">
        <v>1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</row>
    <row r="52" spans="1:27" x14ac:dyDescent="0.2">
      <c r="A52">
        <v>51</v>
      </c>
      <c r="B52" s="10">
        <v>5.27</v>
      </c>
      <c r="C52">
        <v>31</v>
      </c>
      <c r="D52">
        <v>7</v>
      </c>
      <c r="E52">
        <v>1</v>
      </c>
      <c r="F52">
        <v>1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7</v>
      </c>
      <c r="U52">
        <v>0</v>
      </c>
      <c r="V52">
        <v>0</v>
      </c>
      <c r="W52">
        <v>0</v>
      </c>
      <c r="X52">
        <v>1</v>
      </c>
      <c r="Y52">
        <v>0</v>
      </c>
      <c r="Z52">
        <v>1</v>
      </c>
      <c r="AA52">
        <v>1</v>
      </c>
    </row>
    <row r="53" spans="1:27" x14ac:dyDescent="0.2">
      <c r="A53">
        <v>52</v>
      </c>
      <c r="B53" s="10">
        <v>1.22</v>
      </c>
      <c r="C53">
        <v>35</v>
      </c>
      <c r="D53">
        <v>35</v>
      </c>
      <c r="E53">
        <v>0</v>
      </c>
      <c r="F53">
        <v>1</v>
      </c>
      <c r="G53">
        <v>0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R53">
        <v>1</v>
      </c>
      <c r="S53">
        <v>1</v>
      </c>
      <c r="T53">
        <v>7</v>
      </c>
      <c r="U53">
        <v>1</v>
      </c>
      <c r="V53">
        <v>0</v>
      </c>
      <c r="W53">
        <v>0</v>
      </c>
      <c r="X53">
        <v>1</v>
      </c>
      <c r="Y53">
        <v>1</v>
      </c>
      <c r="Z53">
        <v>1</v>
      </c>
      <c r="AA53">
        <v>1</v>
      </c>
    </row>
    <row r="54" spans="1:27" x14ac:dyDescent="0.2">
      <c r="A54">
        <v>53</v>
      </c>
      <c r="B54" s="10">
        <v>3.14</v>
      </c>
      <c r="C54">
        <v>30</v>
      </c>
      <c r="D54">
        <v>30</v>
      </c>
      <c r="E54">
        <v>0</v>
      </c>
      <c r="F54">
        <v>1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>
        <v>8</v>
      </c>
      <c r="U54">
        <v>0</v>
      </c>
      <c r="V54">
        <v>0</v>
      </c>
      <c r="W54">
        <v>0</v>
      </c>
      <c r="X54">
        <v>1</v>
      </c>
      <c r="Y54">
        <v>0</v>
      </c>
      <c r="Z54">
        <v>1</v>
      </c>
      <c r="AA54">
        <v>0</v>
      </c>
    </row>
    <row r="55" spans="1:27" x14ac:dyDescent="0.2">
      <c r="A55">
        <v>54</v>
      </c>
      <c r="B55" s="10">
        <v>3.46</v>
      </c>
      <c r="C55">
        <v>31</v>
      </c>
      <c r="D55">
        <v>6</v>
      </c>
      <c r="E55">
        <v>1</v>
      </c>
      <c r="F55">
        <v>1</v>
      </c>
      <c r="G55">
        <v>0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0</v>
      </c>
      <c r="Q55">
        <v>1</v>
      </c>
      <c r="R55">
        <v>0</v>
      </c>
      <c r="S55">
        <v>1</v>
      </c>
      <c r="T55">
        <v>11</v>
      </c>
      <c r="U55">
        <v>1</v>
      </c>
      <c r="V55">
        <v>0</v>
      </c>
      <c r="W55">
        <v>0</v>
      </c>
      <c r="X55">
        <v>1</v>
      </c>
      <c r="Y55">
        <v>0</v>
      </c>
      <c r="Z55">
        <v>1</v>
      </c>
      <c r="AA55">
        <v>1</v>
      </c>
    </row>
    <row r="56" spans="1:27" x14ac:dyDescent="0.2">
      <c r="A56">
        <v>55</v>
      </c>
      <c r="B56" s="10">
        <v>3.33</v>
      </c>
      <c r="C56">
        <v>29</v>
      </c>
      <c r="D56">
        <v>6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0</v>
      </c>
      <c r="N56">
        <v>1</v>
      </c>
      <c r="O56">
        <v>1</v>
      </c>
      <c r="P56">
        <v>0</v>
      </c>
      <c r="Q56">
        <v>1</v>
      </c>
      <c r="R56">
        <v>1</v>
      </c>
      <c r="S56">
        <v>0</v>
      </c>
      <c r="T56">
        <v>10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1</v>
      </c>
    </row>
    <row r="57" spans="1:27" x14ac:dyDescent="0.2">
      <c r="A57">
        <v>56</v>
      </c>
      <c r="B57" s="10">
        <v>2.2599999999999998</v>
      </c>
      <c r="C57">
        <v>42</v>
      </c>
      <c r="D57">
        <v>18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1</v>
      </c>
      <c r="T57">
        <v>7</v>
      </c>
      <c r="U57">
        <v>0</v>
      </c>
      <c r="V57">
        <v>1</v>
      </c>
      <c r="W57">
        <v>0</v>
      </c>
      <c r="X57">
        <v>1</v>
      </c>
      <c r="Y57">
        <v>0</v>
      </c>
      <c r="Z57">
        <v>1</v>
      </c>
      <c r="AA57">
        <v>0</v>
      </c>
    </row>
    <row r="58" spans="1:27" x14ac:dyDescent="0.2">
      <c r="A58">
        <v>57</v>
      </c>
      <c r="B58" s="10">
        <v>7.56</v>
      </c>
      <c r="C58">
        <v>30</v>
      </c>
      <c r="D58">
        <v>6</v>
      </c>
      <c r="E58">
        <v>1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0</v>
      </c>
      <c r="P58">
        <v>1</v>
      </c>
      <c r="Q58">
        <v>0</v>
      </c>
      <c r="R58">
        <v>1</v>
      </c>
      <c r="S58">
        <v>1</v>
      </c>
      <c r="T58">
        <v>12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1</v>
      </c>
    </row>
    <row r="59" spans="1:27" x14ac:dyDescent="0.2">
      <c r="A59">
        <v>58</v>
      </c>
      <c r="B59" s="10">
        <v>6.3</v>
      </c>
      <c r="C59">
        <v>50</v>
      </c>
      <c r="D59">
        <v>6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0</v>
      </c>
      <c r="S59">
        <v>1</v>
      </c>
      <c r="T59">
        <v>14</v>
      </c>
      <c r="U59">
        <v>0</v>
      </c>
      <c r="V59">
        <v>1</v>
      </c>
      <c r="W59">
        <v>0</v>
      </c>
      <c r="X59">
        <v>1</v>
      </c>
      <c r="Y59">
        <v>2</v>
      </c>
      <c r="Z59">
        <v>1</v>
      </c>
      <c r="AA59">
        <v>1</v>
      </c>
    </row>
    <row r="60" spans="1:27" x14ac:dyDescent="0.2">
      <c r="A60">
        <v>59</v>
      </c>
      <c r="B60" s="10">
        <v>8.07</v>
      </c>
      <c r="C60">
        <v>40</v>
      </c>
      <c r="D60">
        <v>16</v>
      </c>
      <c r="E60">
        <v>1</v>
      </c>
      <c r="F60">
        <v>1</v>
      </c>
      <c r="G60">
        <v>0</v>
      </c>
      <c r="H60">
        <v>0</v>
      </c>
      <c r="I60">
        <v>1</v>
      </c>
      <c r="J60">
        <v>1</v>
      </c>
      <c r="K60">
        <v>1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1</v>
      </c>
      <c r="S60">
        <v>1</v>
      </c>
      <c r="T60">
        <v>8</v>
      </c>
      <c r="U60">
        <v>1</v>
      </c>
      <c r="V60">
        <v>0</v>
      </c>
      <c r="W60">
        <v>1</v>
      </c>
      <c r="X60">
        <v>1</v>
      </c>
      <c r="Y60">
        <v>0</v>
      </c>
      <c r="Z60">
        <v>1</v>
      </c>
      <c r="AA60">
        <v>1</v>
      </c>
    </row>
    <row r="61" spans="1:27" x14ac:dyDescent="0.2">
      <c r="A61">
        <v>60</v>
      </c>
      <c r="B61" s="10">
        <v>4.3099999999999996</v>
      </c>
      <c r="C61">
        <v>33</v>
      </c>
      <c r="D61">
        <v>9</v>
      </c>
      <c r="E61">
        <v>1</v>
      </c>
      <c r="F61">
        <v>0</v>
      </c>
      <c r="G61">
        <v>1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13</v>
      </c>
      <c r="U61">
        <v>0</v>
      </c>
      <c r="V61">
        <v>0</v>
      </c>
      <c r="W61">
        <v>1</v>
      </c>
      <c r="X61">
        <v>1</v>
      </c>
      <c r="Y61">
        <v>0</v>
      </c>
      <c r="Z61">
        <v>1</v>
      </c>
      <c r="AA61">
        <v>1</v>
      </c>
    </row>
    <row r="62" spans="1:27" x14ac:dyDescent="0.2">
      <c r="A62">
        <v>61</v>
      </c>
      <c r="B62" s="10">
        <v>10.44</v>
      </c>
      <c r="C62">
        <v>46</v>
      </c>
      <c r="D62">
        <v>24</v>
      </c>
      <c r="E62">
        <v>1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5</v>
      </c>
      <c r="U62">
        <v>1</v>
      </c>
      <c r="V62">
        <v>1</v>
      </c>
      <c r="W62">
        <v>0</v>
      </c>
      <c r="X62">
        <v>1</v>
      </c>
      <c r="Y62">
        <v>2</v>
      </c>
      <c r="Z62">
        <v>0</v>
      </c>
      <c r="AA62">
        <v>1</v>
      </c>
    </row>
    <row r="63" spans="1:27" x14ac:dyDescent="0.2">
      <c r="A63">
        <v>62</v>
      </c>
      <c r="B63" s="10">
        <v>2.34</v>
      </c>
      <c r="C63">
        <v>31</v>
      </c>
      <c r="D63">
        <v>7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1</v>
      </c>
      <c r="S63">
        <v>0</v>
      </c>
      <c r="T63">
        <v>5</v>
      </c>
      <c r="U63">
        <v>0</v>
      </c>
      <c r="V63">
        <v>0</v>
      </c>
      <c r="W63">
        <v>0</v>
      </c>
      <c r="X63">
        <v>1</v>
      </c>
      <c r="Y63">
        <v>0</v>
      </c>
      <c r="Z63">
        <v>1</v>
      </c>
      <c r="AA63">
        <v>0</v>
      </c>
    </row>
    <row r="64" spans="1:27" x14ac:dyDescent="0.2">
      <c r="A64">
        <v>63</v>
      </c>
      <c r="B64" s="10">
        <v>5.32</v>
      </c>
      <c r="C64">
        <v>31</v>
      </c>
      <c r="D64">
        <v>7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15</v>
      </c>
      <c r="U64">
        <v>1</v>
      </c>
      <c r="V64">
        <v>0</v>
      </c>
      <c r="W64">
        <v>0</v>
      </c>
      <c r="X64">
        <v>1</v>
      </c>
      <c r="Y64">
        <v>0</v>
      </c>
      <c r="Z64">
        <v>1</v>
      </c>
      <c r="AA64">
        <v>1</v>
      </c>
    </row>
    <row r="65" spans="1:27" x14ac:dyDescent="0.2">
      <c r="A65">
        <v>64</v>
      </c>
      <c r="B65" s="10">
        <v>3.29</v>
      </c>
      <c r="C65">
        <v>36</v>
      </c>
      <c r="D65">
        <v>12</v>
      </c>
      <c r="E65">
        <v>1</v>
      </c>
      <c r="F65">
        <v>1</v>
      </c>
      <c r="G65">
        <v>0</v>
      </c>
      <c r="H65">
        <v>0</v>
      </c>
      <c r="I65">
        <v>1</v>
      </c>
      <c r="J65">
        <v>1</v>
      </c>
      <c r="K65">
        <v>1</v>
      </c>
      <c r="L65">
        <v>0</v>
      </c>
      <c r="M65">
        <v>1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7</v>
      </c>
      <c r="U65">
        <v>1</v>
      </c>
      <c r="V65">
        <v>1</v>
      </c>
      <c r="W65">
        <v>1</v>
      </c>
      <c r="X65">
        <v>1</v>
      </c>
      <c r="Y65">
        <v>0</v>
      </c>
      <c r="Z65">
        <v>0</v>
      </c>
      <c r="AA65">
        <v>1</v>
      </c>
    </row>
    <row r="66" spans="1:27" x14ac:dyDescent="0.2">
      <c r="A66">
        <v>65</v>
      </c>
      <c r="B66" s="10">
        <v>4.37</v>
      </c>
      <c r="C66">
        <v>62</v>
      </c>
      <c r="D66">
        <v>39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0</v>
      </c>
      <c r="N66">
        <v>1</v>
      </c>
      <c r="O66">
        <v>1</v>
      </c>
      <c r="P66">
        <v>1</v>
      </c>
      <c r="Q66">
        <v>1</v>
      </c>
      <c r="R66">
        <v>0</v>
      </c>
      <c r="S66">
        <v>1</v>
      </c>
      <c r="T66">
        <v>13</v>
      </c>
      <c r="U66">
        <v>0</v>
      </c>
      <c r="V66">
        <v>1</v>
      </c>
      <c r="W66">
        <v>0</v>
      </c>
      <c r="X66">
        <v>1</v>
      </c>
      <c r="Y66">
        <v>2</v>
      </c>
      <c r="Z66">
        <v>1</v>
      </c>
      <c r="AA66">
        <v>1</v>
      </c>
    </row>
    <row r="67" spans="1:27" x14ac:dyDescent="0.2">
      <c r="A67">
        <v>66</v>
      </c>
      <c r="B67" s="10">
        <v>3.35</v>
      </c>
      <c r="C67">
        <v>54</v>
      </c>
      <c r="D67">
        <v>32</v>
      </c>
      <c r="E67">
        <v>1</v>
      </c>
      <c r="F67">
        <v>0</v>
      </c>
      <c r="G67">
        <v>1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0</v>
      </c>
      <c r="O67">
        <v>0</v>
      </c>
      <c r="P67">
        <v>1</v>
      </c>
      <c r="Q67">
        <v>1</v>
      </c>
      <c r="R67">
        <v>0</v>
      </c>
      <c r="S67">
        <v>1</v>
      </c>
      <c r="T67">
        <v>10</v>
      </c>
      <c r="U67">
        <v>0</v>
      </c>
      <c r="V67">
        <v>1</v>
      </c>
      <c r="W67">
        <v>0</v>
      </c>
      <c r="X67">
        <v>1</v>
      </c>
      <c r="Y67">
        <v>2</v>
      </c>
      <c r="Z67">
        <v>0</v>
      </c>
      <c r="AA67">
        <v>1</v>
      </c>
    </row>
    <row r="68" spans="1:27" x14ac:dyDescent="0.2">
      <c r="A68">
        <v>67</v>
      </c>
      <c r="B68" s="10">
        <v>4.32</v>
      </c>
      <c r="C68">
        <v>29</v>
      </c>
      <c r="D68">
        <v>6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1</v>
      </c>
      <c r="N68">
        <v>1</v>
      </c>
      <c r="O68">
        <v>1</v>
      </c>
      <c r="P68">
        <v>0</v>
      </c>
      <c r="Q68">
        <v>0</v>
      </c>
      <c r="R68">
        <v>0</v>
      </c>
      <c r="S68">
        <v>0</v>
      </c>
      <c r="T68">
        <v>4</v>
      </c>
      <c r="U68">
        <v>0</v>
      </c>
      <c r="V68">
        <v>0</v>
      </c>
      <c r="W68">
        <v>0</v>
      </c>
      <c r="X68">
        <v>1</v>
      </c>
      <c r="Y68">
        <v>0</v>
      </c>
      <c r="Z68">
        <v>1</v>
      </c>
      <c r="AA68">
        <v>1</v>
      </c>
    </row>
    <row r="69" spans="1:27" x14ac:dyDescent="0.2">
      <c r="A69">
        <v>68</v>
      </c>
      <c r="B69" s="10">
        <v>3.24</v>
      </c>
      <c r="C69">
        <v>31</v>
      </c>
      <c r="D69">
        <v>7</v>
      </c>
      <c r="E69">
        <v>1</v>
      </c>
      <c r="F69">
        <v>1</v>
      </c>
      <c r="G69">
        <v>0</v>
      </c>
      <c r="H69">
        <v>0</v>
      </c>
      <c r="I69">
        <v>1</v>
      </c>
      <c r="J69">
        <v>1</v>
      </c>
      <c r="K69">
        <v>0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7</v>
      </c>
      <c r="U69">
        <v>1</v>
      </c>
      <c r="V69">
        <v>1</v>
      </c>
      <c r="W69">
        <v>0</v>
      </c>
      <c r="X69">
        <v>1</v>
      </c>
      <c r="Y69">
        <v>0</v>
      </c>
      <c r="Z69">
        <v>1</v>
      </c>
      <c r="AA69">
        <v>1</v>
      </c>
    </row>
    <row r="70" spans="1:27" x14ac:dyDescent="0.2">
      <c r="A70">
        <v>69</v>
      </c>
      <c r="B70" s="10">
        <v>6.17</v>
      </c>
      <c r="C70">
        <v>30</v>
      </c>
      <c r="D70">
        <v>6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1</v>
      </c>
      <c r="R70">
        <v>1</v>
      </c>
      <c r="S70">
        <v>1</v>
      </c>
      <c r="T70">
        <v>14</v>
      </c>
      <c r="U70">
        <v>0</v>
      </c>
      <c r="V70">
        <v>0</v>
      </c>
      <c r="W70">
        <v>0</v>
      </c>
      <c r="X70">
        <v>1</v>
      </c>
      <c r="Y70">
        <v>0</v>
      </c>
      <c r="Z70">
        <v>1</v>
      </c>
      <c r="AA70">
        <v>0</v>
      </c>
    </row>
    <row r="71" spans="1:27" x14ac:dyDescent="0.2">
      <c r="A71">
        <v>70</v>
      </c>
      <c r="B71" s="10">
        <v>2.4900000000000002</v>
      </c>
      <c r="C71">
        <v>40</v>
      </c>
      <c r="D71">
        <v>17</v>
      </c>
      <c r="E71">
        <v>0</v>
      </c>
      <c r="F71">
        <v>1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1</v>
      </c>
      <c r="N71">
        <v>1</v>
      </c>
      <c r="O71">
        <v>1</v>
      </c>
      <c r="P71">
        <v>0</v>
      </c>
      <c r="Q71">
        <v>1</v>
      </c>
      <c r="R71">
        <v>0</v>
      </c>
      <c r="S71">
        <v>1</v>
      </c>
      <c r="T71">
        <v>8</v>
      </c>
      <c r="U71">
        <v>0</v>
      </c>
      <c r="V71">
        <v>1</v>
      </c>
      <c r="W71">
        <v>1</v>
      </c>
      <c r="X71">
        <v>1</v>
      </c>
      <c r="Y71">
        <v>1</v>
      </c>
      <c r="Z71">
        <v>1</v>
      </c>
      <c r="AA71">
        <v>0</v>
      </c>
    </row>
    <row r="72" spans="1:27" x14ac:dyDescent="0.2">
      <c r="A72">
        <v>71</v>
      </c>
      <c r="B72" s="10">
        <v>2.4500000000000002</v>
      </c>
      <c r="C72">
        <v>32</v>
      </c>
      <c r="D72">
        <v>8</v>
      </c>
      <c r="E72">
        <v>1</v>
      </c>
      <c r="F72">
        <v>1</v>
      </c>
      <c r="G72">
        <v>1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0</v>
      </c>
      <c r="P72">
        <v>1</v>
      </c>
      <c r="Q72">
        <v>0</v>
      </c>
      <c r="R72">
        <v>1</v>
      </c>
      <c r="S72">
        <v>1</v>
      </c>
      <c r="T72">
        <v>12</v>
      </c>
      <c r="U72">
        <v>0</v>
      </c>
      <c r="V72">
        <v>0</v>
      </c>
      <c r="W72">
        <v>0</v>
      </c>
      <c r="X72">
        <v>1</v>
      </c>
      <c r="Y72">
        <v>1</v>
      </c>
      <c r="Z72">
        <v>1</v>
      </c>
      <c r="AA72">
        <v>1</v>
      </c>
    </row>
    <row r="73" spans="1:27" x14ac:dyDescent="0.2">
      <c r="A73">
        <v>72</v>
      </c>
      <c r="B73" s="10">
        <v>1.41</v>
      </c>
      <c r="C73">
        <v>70</v>
      </c>
      <c r="D73">
        <v>46</v>
      </c>
      <c r="E73">
        <v>1</v>
      </c>
      <c r="F73">
        <v>1</v>
      </c>
      <c r="G73">
        <v>1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1</v>
      </c>
      <c r="T73">
        <v>10</v>
      </c>
      <c r="U73">
        <v>0</v>
      </c>
      <c r="V73">
        <v>0</v>
      </c>
      <c r="W73">
        <v>0</v>
      </c>
      <c r="X73">
        <v>1</v>
      </c>
      <c r="Y73">
        <v>2</v>
      </c>
      <c r="Z73">
        <v>1</v>
      </c>
      <c r="AA73">
        <v>1</v>
      </c>
    </row>
    <row r="74" spans="1:27" x14ac:dyDescent="0.2">
      <c r="A74">
        <v>73</v>
      </c>
      <c r="B74" s="10">
        <v>2.4900000000000002</v>
      </c>
      <c r="C74">
        <v>34</v>
      </c>
      <c r="D74">
        <v>10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0</v>
      </c>
      <c r="L74">
        <v>1</v>
      </c>
      <c r="M74">
        <v>1</v>
      </c>
      <c r="N74">
        <v>1</v>
      </c>
      <c r="O74">
        <v>0</v>
      </c>
      <c r="P74">
        <v>1</v>
      </c>
      <c r="Q74">
        <v>0</v>
      </c>
      <c r="R74">
        <v>0</v>
      </c>
      <c r="S74">
        <v>1</v>
      </c>
      <c r="T74">
        <v>7</v>
      </c>
      <c r="U74">
        <v>1</v>
      </c>
      <c r="V74">
        <v>0</v>
      </c>
      <c r="W74">
        <v>0</v>
      </c>
      <c r="X74">
        <v>1</v>
      </c>
      <c r="Y74">
        <v>1</v>
      </c>
      <c r="Z74">
        <v>0</v>
      </c>
      <c r="AA74">
        <v>1</v>
      </c>
    </row>
    <row r="75" spans="1:27" x14ac:dyDescent="0.2">
      <c r="A75">
        <v>74</v>
      </c>
      <c r="B75" s="10">
        <v>5.0599999999999996</v>
      </c>
      <c r="C75">
        <v>56</v>
      </c>
      <c r="D75">
        <v>32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</v>
      </c>
      <c r="U75">
        <v>1</v>
      </c>
      <c r="V75">
        <v>1</v>
      </c>
      <c r="W75">
        <v>1</v>
      </c>
      <c r="X75">
        <v>1</v>
      </c>
      <c r="Y75">
        <v>0</v>
      </c>
      <c r="Z75">
        <v>1</v>
      </c>
      <c r="AA75">
        <v>1</v>
      </c>
    </row>
    <row r="76" spans="1:27" x14ac:dyDescent="0.2">
      <c r="A76">
        <v>75</v>
      </c>
      <c r="B76" s="10">
        <v>6.35</v>
      </c>
      <c r="C76">
        <v>62</v>
      </c>
      <c r="D76">
        <v>38</v>
      </c>
      <c r="E76">
        <v>1</v>
      </c>
      <c r="F76">
        <v>1</v>
      </c>
      <c r="G76">
        <v>1</v>
      </c>
      <c r="H76">
        <v>1</v>
      </c>
      <c r="I76">
        <v>0</v>
      </c>
      <c r="J76">
        <v>1</v>
      </c>
      <c r="K76">
        <v>1</v>
      </c>
      <c r="L76">
        <v>1</v>
      </c>
      <c r="M76">
        <v>0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13</v>
      </c>
      <c r="U76">
        <v>0</v>
      </c>
      <c r="V76">
        <v>1</v>
      </c>
      <c r="W76">
        <v>0</v>
      </c>
      <c r="X76">
        <v>1</v>
      </c>
      <c r="Y76">
        <v>0</v>
      </c>
      <c r="Z76">
        <v>0</v>
      </c>
      <c r="AA76">
        <v>1</v>
      </c>
    </row>
    <row r="77" spans="1:27" x14ac:dyDescent="0.2">
      <c r="A77">
        <v>76</v>
      </c>
      <c r="B77" s="10">
        <v>8.23</v>
      </c>
      <c r="C77">
        <v>65</v>
      </c>
      <c r="D77">
        <v>42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</v>
      </c>
      <c r="U77">
        <v>1</v>
      </c>
      <c r="V77">
        <v>1</v>
      </c>
      <c r="W77">
        <v>0</v>
      </c>
      <c r="X77">
        <v>1</v>
      </c>
      <c r="Y77">
        <v>2</v>
      </c>
      <c r="Z77">
        <v>1</v>
      </c>
      <c r="AA77">
        <v>1</v>
      </c>
    </row>
    <row r="78" spans="1:27" x14ac:dyDescent="0.2">
      <c r="A78">
        <v>77</v>
      </c>
      <c r="B78" s="10">
        <v>10.39</v>
      </c>
      <c r="C78">
        <v>64</v>
      </c>
      <c r="D78">
        <v>38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</v>
      </c>
      <c r="U78">
        <v>1</v>
      </c>
      <c r="V78">
        <v>1</v>
      </c>
      <c r="W78">
        <v>0</v>
      </c>
      <c r="X78">
        <v>1</v>
      </c>
      <c r="Y78">
        <v>0</v>
      </c>
      <c r="Z78">
        <v>0</v>
      </c>
      <c r="AA78">
        <v>1</v>
      </c>
    </row>
    <row r="79" spans="1:27" x14ac:dyDescent="0.2">
      <c r="A79">
        <v>78</v>
      </c>
      <c r="B79" s="10">
        <v>4.26</v>
      </c>
      <c r="C79">
        <v>64</v>
      </c>
      <c r="D79">
        <v>39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T79">
        <v>4</v>
      </c>
      <c r="U79">
        <v>1</v>
      </c>
      <c r="V79">
        <v>1</v>
      </c>
      <c r="W79">
        <v>0</v>
      </c>
      <c r="X79">
        <v>1</v>
      </c>
      <c r="Y79">
        <v>2</v>
      </c>
      <c r="Z79">
        <v>0</v>
      </c>
      <c r="AA79">
        <v>1</v>
      </c>
    </row>
    <row r="80" spans="1:27" x14ac:dyDescent="0.2">
      <c r="A80">
        <v>79</v>
      </c>
      <c r="B80" s="10">
        <v>8.49</v>
      </c>
      <c r="C80">
        <v>62</v>
      </c>
      <c r="D80">
        <v>27</v>
      </c>
      <c r="E80">
        <v>1</v>
      </c>
      <c r="F80">
        <v>1</v>
      </c>
      <c r="G80">
        <v>1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0</v>
      </c>
      <c r="S80">
        <v>1</v>
      </c>
      <c r="T80">
        <v>13</v>
      </c>
      <c r="U80">
        <v>1</v>
      </c>
      <c r="V80">
        <v>0</v>
      </c>
      <c r="W80">
        <v>0</v>
      </c>
      <c r="X80">
        <v>1</v>
      </c>
      <c r="Y80">
        <v>2</v>
      </c>
      <c r="Z80">
        <v>0</v>
      </c>
      <c r="AA80">
        <v>1</v>
      </c>
    </row>
    <row r="81" spans="1:27" x14ac:dyDescent="0.2">
      <c r="A81">
        <v>80</v>
      </c>
      <c r="B81" s="10">
        <v>2.5099999999999998</v>
      </c>
      <c r="C81">
        <v>57</v>
      </c>
      <c r="D81">
        <v>34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1</v>
      </c>
      <c r="L81">
        <v>0</v>
      </c>
      <c r="M81">
        <v>1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5</v>
      </c>
      <c r="U81">
        <v>1</v>
      </c>
      <c r="V81">
        <v>1</v>
      </c>
      <c r="W81">
        <v>0</v>
      </c>
      <c r="X81">
        <v>1</v>
      </c>
      <c r="Y81">
        <v>2</v>
      </c>
      <c r="Z81">
        <v>1</v>
      </c>
      <c r="AA81">
        <v>1</v>
      </c>
    </row>
    <row r="82" spans="1:27" x14ac:dyDescent="0.2">
      <c r="A82">
        <v>81</v>
      </c>
      <c r="B82" s="10">
        <v>6.21</v>
      </c>
      <c r="C82">
        <v>61</v>
      </c>
      <c r="D82">
        <v>29</v>
      </c>
      <c r="E82">
        <v>1</v>
      </c>
      <c r="F82">
        <v>1</v>
      </c>
      <c r="G82">
        <v>0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0</v>
      </c>
      <c r="S82">
        <v>1</v>
      </c>
      <c r="T82">
        <v>12</v>
      </c>
      <c r="U82">
        <v>1</v>
      </c>
      <c r="V82">
        <v>0</v>
      </c>
      <c r="W82">
        <v>0</v>
      </c>
      <c r="X82">
        <v>1</v>
      </c>
      <c r="Y82">
        <v>2</v>
      </c>
      <c r="Z82">
        <v>0</v>
      </c>
      <c r="AA82">
        <v>1</v>
      </c>
    </row>
    <row r="83" spans="1:27" x14ac:dyDescent="0.2">
      <c r="A83">
        <v>82</v>
      </c>
      <c r="B83" s="10">
        <v>2.4700000000000002</v>
      </c>
      <c r="C83">
        <v>61</v>
      </c>
      <c r="D83">
        <v>29</v>
      </c>
      <c r="E83">
        <v>1</v>
      </c>
      <c r="F83">
        <v>1</v>
      </c>
      <c r="G83">
        <v>0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0</v>
      </c>
      <c r="S83">
        <v>1</v>
      </c>
      <c r="T83">
        <v>12</v>
      </c>
      <c r="U83">
        <v>1</v>
      </c>
      <c r="V83">
        <v>0</v>
      </c>
      <c r="W83">
        <v>0</v>
      </c>
      <c r="X83">
        <v>1</v>
      </c>
      <c r="Y83">
        <v>2</v>
      </c>
      <c r="Z83">
        <v>1</v>
      </c>
      <c r="AA83">
        <v>1</v>
      </c>
    </row>
    <row r="84" spans="1:27" x14ac:dyDescent="0.2">
      <c r="A84">
        <v>83</v>
      </c>
      <c r="B84" s="10">
        <v>2.1</v>
      </c>
      <c r="C84">
        <v>38</v>
      </c>
      <c r="D84">
        <v>14</v>
      </c>
      <c r="E84">
        <v>1</v>
      </c>
      <c r="F84">
        <v>1</v>
      </c>
      <c r="G84">
        <v>1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0</v>
      </c>
      <c r="R84">
        <v>1</v>
      </c>
      <c r="S84">
        <v>1</v>
      </c>
      <c r="T84">
        <v>13</v>
      </c>
      <c r="U84">
        <v>0</v>
      </c>
      <c r="V84">
        <v>1</v>
      </c>
      <c r="W84">
        <v>1</v>
      </c>
      <c r="X84">
        <v>1</v>
      </c>
      <c r="Y84">
        <v>2</v>
      </c>
      <c r="Z84">
        <v>1</v>
      </c>
      <c r="AA84">
        <v>1</v>
      </c>
    </row>
    <row r="85" spans="1:27" x14ac:dyDescent="0.2">
      <c r="A85">
        <v>84</v>
      </c>
      <c r="B85" s="10">
        <v>59.21</v>
      </c>
      <c r="C85">
        <v>60</v>
      </c>
      <c r="D85">
        <v>38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1</v>
      </c>
    </row>
    <row r="86" spans="1:27" x14ac:dyDescent="0.2">
      <c r="A86">
        <v>85</v>
      </c>
      <c r="B86" s="10">
        <v>8.5</v>
      </c>
      <c r="C86">
        <v>61</v>
      </c>
      <c r="D86">
        <v>38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15</v>
      </c>
      <c r="U86">
        <v>1</v>
      </c>
      <c r="V86">
        <v>1</v>
      </c>
      <c r="W86">
        <v>0</v>
      </c>
      <c r="X86">
        <v>1</v>
      </c>
      <c r="Y86">
        <v>2</v>
      </c>
      <c r="Z86">
        <v>0</v>
      </c>
      <c r="AA86">
        <v>1</v>
      </c>
    </row>
    <row r="87" spans="1:27" x14ac:dyDescent="0.2">
      <c r="A87">
        <v>86</v>
      </c>
      <c r="B87" s="10">
        <v>1.44</v>
      </c>
      <c r="C87">
        <v>36</v>
      </c>
      <c r="D87">
        <v>12</v>
      </c>
      <c r="E87">
        <v>1</v>
      </c>
      <c r="F87">
        <v>1</v>
      </c>
      <c r="G87">
        <v>1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0</v>
      </c>
      <c r="R87">
        <v>0</v>
      </c>
      <c r="S87">
        <v>1</v>
      </c>
      <c r="T87">
        <v>12</v>
      </c>
      <c r="U87">
        <v>1</v>
      </c>
      <c r="V87">
        <v>1</v>
      </c>
      <c r="W87">
        <v>0</v>
      </c>
      <c r="X87">
        <v>1</v>
      </c>
      <c r="Y87">
        <v>1</v>
      </c>
      <c r="Z87">
        <v>1</v>
      </c>
      <c r="AA87">
        <v>1</v>
      </c>
    </row>
    <row r="88" spans="1:27" x14ac:dyDescent="0.2">
      <c r="A88">
        <v>87</v>
      </c>
      <c r="B88" s="10">
        <v>19.07</v>
      </c>
      <c r="C88">
        <v>59</v>
      </c>
      <c r="D88">
        <v>36</v>
      </c>
      <c r="E88">
        <v>1</v>
      </c>
      <c r="F88">
        <v>1</v>
      </c>
      <c r="G88">
        <v>1</v>
      </c>
      <c r="H88">
        <v>1</v>
      </c>
      <c r="I88">
        <v>1</v>
      </c>
      <c r="J88">
        <v>0</v>
      </c>
      <c r="K88">
        <v>0</v>
      </c>
      <c r="L88">
        <v>1</v>
      </c>
      <c r="M88">
        <v>0</v>
      </c>
      <c r="N88">
        <v>1</v>
      </c>
      <c r="O88">
        <v>1</v>
      </c>
      <c r="P88">
        <v>1</v>
      </c>
      <c r="Q88">
        <v>0</v>
      </c>
      <c r="R88">
        <v>1</v>
      </c>
      <c r="S88">
        <v>1</v>
      </c>
      <c r="T88">
        <v>11</v>
      </c>
      <c r="U88">
        <v>1</v>
      </c>
      <c r="V88">
        <v>1</v>
      </c>
      <c r="W88">
        <v>0</v>
      </c>
      <c r="X88">
        <v>1</v>
      </c>
      <c r="Y88">
        <v>2</v>
      </c>
      <c r="Z88">
        <v>1</v>
      </c>
      <c r="AA88">
        <v>1</v>
      </c>
    </row>
    <row r="89" spans="1:27" x14ac:dyDescent="0.2">
      <c r="A89">
        <v>88</v>
      </c>
      <c r="B89" s="10">
        <v>1.51</v>
      </c>
      <c r="C89">
        <v>36</v>
      </c>
      <c r="D89">
        <v>12</v>
      </c>
      <c r="E89">
        <v>1</v>
      </c>
      <c r="F89">
        <v>0</v>
      </c>
      <c r="G89">
        <v>0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0</v>
      </c>
      <c r="P89">
        <v>1</v>
      </c>
      <c r="Q89">
        <v>0</v>
      </c>
      <c r="R89">
        <v>0</v>
      </c>
      <c r="S89">
        <v>1</v>
      </c>
      <c r="T89">
        <v>9</v>
      </c>
      <c r="U89">
        <v>0</v>
      </c>
      <c r="V89">
        <v>0</v>
      </c>
      <c r="W89">
        <v>0</v>
      </c>
      <c r="X89">
        <v>1</v>
      </c>
      <c r="Y89">
        <v>1</v>
      </c>
      <c r="Z89">
        <v>1</v>
      </c>
      <c r="AA89">
        <v>1</v>
      </c>
    </row>
    <row r="90" spans="1:27" x14ac:dyDescent="0.2">
      <c r="A90">
        <v>89</v>
      </c>
      <c r="B90" s="10">
        <v>2.34</v>
      </c>
      <c r="C90">
        <v>34</v>
      </c>
      <c r="D90">
        <v>10</v>
      </c>
      <c r="E90">
        <v>1</v>
      </c>
      <c r="F90">
        <v>1</v>
      </c>
      <c r="G90">
        <v>1</v>
      </c>
      <c r="H90">
        <v>0</v>
      </c>
      <c r="I90">
        <v>1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  <c r="S90">
        <v>1</v>
      </c>
      <c r="T90">
        <v>11</v>
      </c>
      <c r="U90">
        <v>1</v>
      </c>
      <c r="V90">
        <v>0</v>
      </c>
      <c r="W90">
        <v>0</v>
      </c>
      <c r="X90">
        <v>1</v>
      </c>
      <c r="Y90">
        <v>1</v>
      </c>
      <c r="Z90">
        <v>0</v>
      </c>
      <c r="AA90">
        <v>1</v>
      </c>
    </row>
    <row r="91" spans="1:27" x14ac:dyDescent="0.2">
      <c r="A91">
        <v>90</v>
      </c>
      <c r="B91" s="10">
        <v>44.03</v>
      </c>
      <c r="C91">
        <v>33</v>
      </c>
      <c r="D91">
        <v>9</v>
      </c>
      <c r="E91">
        <v>1</v>
      </c>
      <c r="F91">
        <v>1</v>
      </c>
      <c r="G91">
        <v>0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0</v>
      </c>
      <c r="P91">
        <v>0</v>
      </c>
      <c r="Q91">
        <v>1</v>
      </c>
      <c r="R91">
        <v>1</v>
      </c>
      <c r="S91">
        <v>1</v>
      </c>
      <c r="T91">
        <v>11</v>
      </c>
      <c r="U91">
        <v>0</v>
      </c>
      <c r="V91">
        <v>1</v>
      </c>
      <c r="W91">
        <v>1</v>
      </c>
      <c r="X91">
        <v>1</v>
      </c>
      <c r="Y91">
        <v>0</v>
      </c>
      <c r="Z91">
        <v>1</v>
      </c>
      <c r="AA91">
        <v>1</v>
      </c>
    </row>
    <row r="92" spans="1:27" x14ac:dyDescent="0.2">
      <c r="A92">
        <v>91</v>
      </c>
      <c r="B92" s="10">
        <v>6.13</v>
      </c>
      <c r="C92">
        <v>44</v>
      </c>
      <c r="D92">
        <v>20</v>
      </c>
      <c r="E92">
        <v>1</v>
      </c>
      <c r="F92">
        <v>1</v>
      </c>
      <c r="G92">
        <v>0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0</v>
      </c>
      <c r="O92">
        <v>0</v>
      </c>
      <c r="P92">
        <v>0</v>
      </c>
      <c r="Q92">
        <v>1</v>
      </c>
      <c r="R92">
        <v>0</v>
      </c>
      <c r="S92">
        <v>1</v>
      </c>
      <c r="T92">
        <v>9</v>
      </c>
      <c r="U92">
        <v>0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 x14ac:dyDescent="0.2">
      <c r="A93">
        <v>92</v>
      </c>
      <c r="B93" s="10">
        <v>3.11</v>
      </c>
      <c r="C93">
        <v>30</v>
      </c>
      <c r="D93">
        <v>6</v>
      </c>
      <c r="E93">
        <v>1</v>
      </c>
      <c r="F93">
        <v>0</v>
      </c>
      <c r="G93">
        <v>1</v>
      </c>
      <c r="H93">
        <v>0</v>
      </c>
      <c r="I93">
        <v>1</v>
      </c>
      <c r="J93">
        <v>0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0</v>
      </c>
      <c r="R93">
        <v>0</v>
      </c>
      <c r="S93">
        <v>1</v>
      </c>
      <c r="T93">
        <v>10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1</v>
      </c>
    </row>
    <row r="94" spans="1:27" x14ac:dyDescent="0.2">
      <c r="A94">
        <v>93</v>
      </c>
      <c r="B94" s="10">
        <v>1.1200000000000001</v>
      </c>
      <c r="C94">
        <v>31</v>
      </c>
      <c r="D94">
        <v>7</v>
      </c>
      <c r="E94">
        <v>1</v>
      </c>
      <c r="F94">
        <v>0</v>
      </c>
      <c r="G94">
        <v>1</v>
      </c>
      <c r="H94">
        <v>0</v>
      </c>
      <c r="I94">
        <v>1</v>
      </c>
      <c r="J94">
        <v>0</v>
      </c>
      <c r="K94">
        <v>1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>
        <v>7</v>
      </c>
      <c r="U94">
        <v>0</v>
      </c>
      <c r="V94">
        <v>0</v>
      </c>
      <c r="W94">
        <v>0</v>
      </c>
      <c r="X94">
        <v>1</v>
      </c>
      <c r="Y94">
        <v>1</v>
      </c>
      <c r="Z94">
        <v>1</v>
      </c>
      <c r="AA94">
        <v>1</v>
      </c>
    </row>
    <row r="95" spans="1:27" x14ac:dyDescent="0.2">
      <c r="A95">
        <v>94</v>
      </c>
      <c r="B95" s="10">
        <v>3.39</v>
      </c>
      <c r="C95">
        <v>56</v>
      </c>
      <c r="D95">
        <v>56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1</v>
      </c>
      <c r="L95">
        <v>0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5</v>
      </c>
      <c r="U95">
        <v>1</v>
      </c>
      <c r="V95">
        <v>1</v>
      </c>
      <c r="W95">
        <v>1</v>
      </c>
      <c r="X95">
        <v>1</v>
      </c>
      <c r="Y95">
        <v>2</v>
      </c>
      <c r="Z95">
        <v>1</v>
      </c>
      <c r="AA95">
        <v>1</v>
      </c>
    </row>
    <row r="96" spans="1:27" x14ac:dyDescent="0.2">
      <c r="A96">
        <v>95</v>
      </c>
      <c r="B96" s="10">
        <v>7.19</v>
      </c>
      <c r="C96">
        <v>42</v>
      </c>
      <c r="D96">
        <v>19</v>
      </c>
      <c r="E96">
        <v>1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0</v>
      </c>
      <c r="O96">
        <v>1</v>
      </c>
      <c r="P96">
        <v>1</v>
      </c>
      <c r="Q96">
        <v>0</v>
      </c>
      <c r="R96">
        <v>1</v>
      </c>
      <c r="S96">
        <v>1</v>
      </c>
      <c r="T96">
        <v>10</v>
      </c>
      <c r="U96">
        <v>0</v>
      </c>
      <c r="V96">
        <v>0</v>
      </c>
      <c r="W96">
        <v>1</v>
      </c>
      <c r="X96">
        <v>1</v>
      </c>
      <c r="Y96">
        <v>2</v>
      </c>
      <c r="Z96">
        <v>1</v>
      </c>
      <c r="AA96">
        <v>1</v>
      </c>
    </row>
    <row r="97" spans="1:27" x14ac:dyDescent="0.2">
      <c r="A97">
        <v>96</v>
      </c>
      <c r="B97" s="10">
        <v>3.51</v>
      </c>
      <c r="C97">
        <v>37</v>
      </c>
      <c r="D97">
        <v>14</v>
      </c>
      <c r="E97">
        <v>1</v>
      </c>
      <c r="F97">
        <v>1</v>
      </c>
      <c r="G97">
        <v>0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13</v>
      </c>
      <c r="U97">
        <v>0</v>
      </c>
      <c r="V97">
        <v>1</v>
      </c>
      <c r="W97">
        <v>0</v>
      </c>
      <c r="X97">
        <v>1</v>
      </c>
      <c r="Y97">
        <v>0</v>
      </c>
      <c r="Z97">
        <v>0</v>
      </c>
      <c r="AA97">
        <v>1</v>
      </c>
    </row>
    <row r="98" spans="1:27" x14ac:dyDescent="0.2">
      <c r="A98">
        <v>97</v>
      </c>
      <c r="B98" s="10">
        <v>2.31</v>
      </c>
      <c r="C98">
        <v>30</v>
      </c>
      <c r="D98">
        <v>6</v>
      </c>
      <c r="E98">
        <v>1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1</v>
      </c>
      <c r="M98">
        <v>1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>
        <v>6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1</v>
      </c>
    </row>
    <row r="99" spans="1:27" x14ac:dyDescent="0.2">
      <c r="A99">
        <v>98</v>
      </c>
      <c r="B99" s="10">
        <v>1.18</v>
      </c>
      <c r="C99">
        <v>31</v>
      </c>
      <c r="D99">
        <v>7</v>
      </c>
      <c r="E99">
        <v>1</v>
      </c>
      <c r="F99">
        <v>1</v>
      </c>
      <c r="G99">
        <v>1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1</v>
      </c>
      <c r="T99">
        <v>10</v>
      </c>
      <c r="U99">
        <v>1</v>
      </c>
      <c r="V99">
        <v>0</v>
      </c>
      <c r="W99">
        <v>0</v>
      </c>
      <c r="X99">
        <v>1</v>
      </c>
      <c r="Y99">
        <v>1</v>
      </c>
      <c r="Z99">
        <v>0</v>
      </c>
      <c r="AA99">
        <v>1</v>
      </c>
    </row>
    <row r="100" spans="1:27" x14ac:dyDescent="0.2">
      <c r="A100">
        <v>99</v>
      </c>
      <c r="B100" s="10">
        <v>1.05</v>
      </c>
      <c r="C100">
        <v>32</v>
      </c>
      <c r="D100">
        <v>8</v>
      </c>
      <c r="E100">
        <v>1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1</v>
      </c>
      <c r="S100">
        <v>1</v>
      </c>
      <c r="T100">
        <v>13</v>
      </c>
      <c r="U100">
        <v>0</v>
      </c>
      <c r="V100">
        <v>1</v>
      </c>
      <c r="W100">
        <v>0</v>
      </c>
      <c r="X100">
        <v>1</v>
      </c>
      <c r="Y100">
        <v>1</v>
      </c>
      <c r="Z100">
        <v>1</v>
      </c>
      <c r="AA100">
        <v>0</v>
      </c>
    </row>
    <row r="101" spans="1:27" x14ac:dyDescent="0.2">
      <c r="A101">
        <v>100</v>
      </c>
      <c r="B101" s="10">
        <v>3.05</v>
      </c>
      <c r="C101">
        <v>37</v>
      </c>
      <c r="D101">
        <v>13</v>
      </c>
      <c r="E101">
        <v>1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8</v>
      </c>
      <c r="U101">
        <v>0</v>
      </c>
      <c r="V101">
        <v>1</v>
      </c>
      <c r="W101">
        <v>1</v>
      </c>
      <c r="X101">
        <v>1</v>
      </c>
      <c r="Y101">
        <v>0</v>
      </c>
      <c r="Z101">
        <v>0</v>
      </c>
      <c r="AA101">
        <v>1</v>
      </c>
    </row>
    <row r="102" spans="1:27" x14ac:dyDescent="0.2">
      <c r="A102">
        <v>101</v>
      </c>
      <c r="B102" s="10">
        <v>36.43</v>
      </c>
      <c r="C102">
        <v>51</v>
      </c>
      <c r="D102">
        <v>26</v>
      </c>
      <c r="E102">
        <v>1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5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1</v>
      </c>
      <c r="AA102">
        <v>1</v>
      </c>
    </row>
    <row r="103" spans="1:27" x14ac:dyDescent="0.2">
      <c r="A103">
        <v>102</v>
      </c>
      <c r="B103" s="10">
        <v>1.36</v>
      </c>
      <c r="C103">
        <v>32</v>
      </c>
      <c r="D103">
        <v>8</v>
      </c>
      <c r="E103">
        <v>1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1</v>
      </c>
      <c r="L103">
        <v>0</v>
      </c>
      <c r="M103">
        <v>1</v>
      </c>
      <c r="N103">
        <v>1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10</v>
      </c>
      <c r="U103">
        <v>0</v>
      </c>
      <c r="V103">
        <v>0</v>
      </c>
      <c r="W103">
        <v>0</v>
      </c>
      <c r="X103">
        <v>1</v>
      </c>
      <c r="Y103">
        <v>1</v>
      </c>
      <c r="Z103">
        <v>0</v>
      </c>
      <c r="AA103">
        <v>1</v>
      </c>
    </row>
    <row r="104" spans="1:27" x14ac:dyDescent="0.2">
      <c r="A104">
        <v>103</v>
      </c>
      <c r="B104" s="10">
        <v>3.12</v>
      </c>
      <c r="C104">
        <v>45</v>
      </c>
      <c r="D104">
        <v>22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5</v>
      </c>
      <c r="U104">
        <v>0</v>
      </c>
      <c r="V104">
        <v>1</v>
      </c>
      <c r="W104">
        <v>0</v>
      </c>
      <c r="X104">
        <v>1</v>
      </c>
      <c r="Y104">
        <v>2</v>
      </c>
      <c r="Z104">
        <v>0</v>
      </c>
      <c r="AA104">
        <v>1</v>
      </c>
    </row>
    <row r="105" spans="1:27" x14ac:dyDescent="0.2">
      <c r="A105">
        <v>104</v>
      </c>
      <c r="B105" s="10">
        <v>8.06</v>
      </c>
      <c r="C105">
        <v>33</v>
      </c>
      <c r="D105">
        <v>9</v>
      </c>
      <c r="E105">
        <v>1</v>
      </c>
      <c r="F105">
        <v>1</v>
      </c>
      <c r="G105">
        <v>1</v>
      </c>
      <c r="H105">
        <v>0</v>
      </c>
      <c r="I105">
        <v>1</v>
      </c>
      <c r="J105">
        <v>0</v>
      </c>
      <c r="K105">
        <v>1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8</v>
      </c>
      <c r="U105">
        <v>1</v>
      </c>
      <c r="V105">
        <v>0</v>
      </c>
      <c r="W105">
        <v>0</v>
      </c>
      <c r="X105">
        <v>1</v>
      </c>
      <c r="Y105">
        <v>1</v>
      </c>
      <c r="Z105">
        <v>1</v>
      </c>
      <c r="AA105">
        <v>1</v>
      </c>
    </row>
    <row r="106" spans="1:27" x14ac:dyDescent="0.2">
      <c r="A106">
        <v>105</v>
      </c>
      <c r="B106" s="10">
        <v>2.23</v>
      </c>
      <c r="C106">
        <v>30</v>
      </c>
      <c r="D106">
        <v>7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1</v>
      </c>
    </row>
    <row r="107" spans="1:27" x14ac:dyDescent="0.2">
      <c r="A107">
        <v>106</v>
      </c>
      <c r="B107" s="10">
        <v>1.25</v>
      </c>
      <c r="C107">
        <v>35</v>
      </c>
      <c r="D107">
        <v>11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0</v>
      </c>
      <c r="R107">
        <v>0</v>
      </c>
      <c r="S107">
        <v>1</v>
      </c>
      <c r="T107">
        <v>12</v>
      </c>
      <c r="U107">
        <v>0</v>
      </c>
      <c r="V107">
        <v>0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 x14ac:dyDescent="0.2">
      <c r="A108">
        <v>107</v>
      </c>
      <c r="B108" s="10">
        <v>5.4</v>
      </c>
      <c r="C108">
        <v>36</v>
      </c>
      <c r="D108">
        <v>12</v>
      </c>
      <c r="E108">
        <v>1</v>
      </c>
      <c r="F108">
        <v>0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9</v>
      </c>
      <c r="U108">
        <v>1</v>
      </c>
      <c r="V108">
        <v>1</v>
      </c>
      <c r="W108">
        <v>0</v>
      </c>
      <c r="X108">
        <v>1</v>
      </c>
      <c r="Y108">
        <v>1</v>
      </c>
      <c r="Z108">
        <v>1</v>
      </c>
      <c r="AA108">
        <v>1</v>
      </c>
    </row>
    <row r="109" spans="1:27" x14ac:dyDescent="0.2">
      <c r="A109">
        <v>108</v>
      </c>
      <c r="B109" s="10">
        <v>1.0900000000000001</v>
      </c>
      <c r="C109">
        <v>32</v>
      </c>
      <c r="D109">
        <v>8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6</v>
      </c>
      <c r="U109">
        <v>1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1</v>
      </c>
    </row>
    <row r="110" spans="1:27" x14ac:dyDescent="0.2">
      <c r="A110">
        <v>109</v>
      </c>
      <c r="B110" s="10">
        <v>1.1100000000000001</v>
      </c>
      <c r="C110">
        <v>33</v>
      </c>
      <c r="D110">
        <v>9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8</v>
      </c>
      <c r="U110">
        <v>0</v>
      </c>
      <c r="V110">
        <v>1</v>
      </c>
      <c r="W110">
        <v>0</v>
      </c>
      <c r="X110">
        <v>1</v>
      </c>
      <c r="Y110">
        <v>1</v>
      </c>
      <c r="Z110">
        <v>0</v>
      </c>
      <c r="AA110">
        <v>1</v>
      </c>
    </row>
    <row r="111" spans="1:27" x14ac:dyDescent="0.2">
      <c r="A111">
        <v>110</v>
      </c>
      <c r="B111" s="10">
        <v>2.2400000000000002</v>
      </c>
      <c r="C111">
        <v>30</v>
      </c>
      <c r="D111">
        <v>6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</v>
      </c>
      <c r="U111">
        <v>0</v>
      </c>
      <c r="V111">
        <v>0</v>
      </c>
      <c r="W111">
        <v>0</v>
      </c>
      <c r="X111">
        <v>1</v>
      </c>
      <c r="Y111">
        <v>1</v>
      </c>
      <c r="Z111">
        <v>1</v>
      </c>
      <c r="AA111">
        <v>0</v>
      </c>
    </row>
    <row r="112" spans="1:27" x14ac:dyDescent="0.2">
      <c r="A112">
        <v>111</v>
      </c>
      <c r="B112" s="10">
        <v>1.1200000000000001</v>
      </c>
      <c r="C112">
        <v>32</v>
      </c>
      <c r="D112">
        <v>8</v>
      </c>
      <c r="E112">
        <v>1</v>
      </c>
      <c r="F112">
        <v>1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1</v>
      </c>
      <c r="T112">
        <v>12</v>
      </c>
      <c r="U112">
        <v>1</v>
      </c>
      <c r="V112">
        <v>1</v>
      </c>
      <c r="W112">
        <v>0</v>
      </c>
      <c r="X112">
        <v>1</v>
      </c>
      <c r="Y112">
        <v>1</v>
      </c>
      <c r="Z112">
        <v>1</v>
      </c>
      <c r="AA112">
        <v>1</v>
      </c>
    </row>
    <row r="113" spans="1:27" x14ac:dyDescent="0.2">
      <c r="A113">
        <v>112</v>
      </c>
      <c r="B113" s="10">
        <v>4.42</v>
      </c>
      <c r="C113">
        <v>46</v>
      </c>
      <c r="D113">
        <v>23</v>
      </c>
      <c r="E113">
        <v>1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8</v>
      </c>
      <c r="U113">
        <v>1</v>
      </c>
      <c r="V113">
        <v>1</v>
      </c>
      <c r="W113">
        <v>0</v>
      </c>
      <c r="X113">
        <v>1</v>
      </c>
      <c r="Y113">
        <v>2</v>
      </c>
      <c r="Z113">
        <v>1</v>
      </c>
      <c r="AA113">
        <v>1</v>
      </c>
    </row>
    <row r="114" spans="1:27" x14ac:dyDescent="0.2">
      <c r="A114">
        <v>113</v>
      </c>
      <c r="B114" s="10">
        <v>4.0199999999999996</v>
      </c>
      <c r="C114">
        <v>36</v>
      </c>
      <c r="D114">
        <v>13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</v>
      </c>
      <c r="U114">
        <v>0</v>
      </c>
      <c r="V114">
        <v>1</v>
      </c>
      <c r="W114">
        <v>0</v>
      </c>
      <c r="X114">
        <v>1</v>
      </c>
      <c r="Y114">
        <v>1</v>
      </c>
      <c r="Z114">
        <v>0</v>
      </c>
      <c r="AA114">
        <v>1</v>
      </c>
    </row>
    <row r="115" spans="1:27" x14ac:dyDescent="0.2">
      <c r="A115">
        <v>114</v>
      </c>
      <c r="B115" s="10">
        <v>5.25</v>
      </c>
      <c r="C115">
        <v>49</v>
      </c>
      <c r="D115">
        <v>26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0</v>
      </c>
      <c r="S115">
        <v>1</v>
      </c>
      <c r="T115">
        <v>13</v>
      </c>
      <c r="U115">
        <v>0</v>
      </c>
      <c r="V115">
        <v>1</v>
      </c>
      <c r="W115">
        <v>1</v>
      </c>
      <c r="X115">
        <v>1</v>
      </c>
      <c r="Y115">
        <v>2</v>
      </c>
      <c r="Z115">
        <v>0</v>
      </c>
      <c r="AA115">
        <v>1</v>
      </c>
    </row>
    <row r="116" spans="1:27" x14ac:dyDescent="0.2">
      <c r="A116">
        <v>115</v>
      </c>
      <c r="B116" s="10">
        <v>2.23</v>
      </c>
      <c r="C116">
        <v>49</v>
      </c>
      <c r="D116">
        <v>26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1</v>
      </c>
      <c r="T116">
        <v>13</v>
      </c>
      <c r="U116">
        <v>1</v>
      </c>
      <c r="V116">
        <v>1</v>
      </c>
      <c r="W116">
        <v>0</v>
      </c>
      <c r="X116">
        <v>1</v>
      </c>
      <c r="Y116">
        <v>2</v>
      </c>
      <c r="Z116">
        <v>0</v>
      </c>
      <c r="AA116">
        <v>1</v>
      </c>
    </row>
    <row r="117" spans="1:27" x14ac:dyDescent="0.2">
      <c r="A117">
        <v>116</v>
      </c>
      <c r="B117" s="10">
        <v>3.22</v>
      </c>
      <c r="C117">
        <v>37</v>
      </c>
      <c r="D117">
        <v>14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0</v>
      </c>
      <c r="Q117">
        <v>1</v>
      </c>
      <c r="R117">
        <v>0</v>
      </c>
      <c r="S117">
        <v>1</v>
      </c>
      <c r="T117">
        <v>11</v>
      </c>
      <c r="U117">
        <v>0</v>
      </c>
      <c r="V117">
        <v>1</v>
      </c>
      <c r="W117">
        <v>0</v>
      </c>
      <c r="X117">
        <v>1</v>
      </c>
      <c r="Y117">
        <v>0</v>
      </c>
      <c r="Z117">
        <v>0</v>
      </c>
      <c r="AA117">
        <v>1</v>
      </c>
    </row>
    <row r="118" spans="1:27" x14ac:dyDescent="0.2">
      <c r="A118">
        <v>117</v>
      </c>
      <c r="B118" s="10">
        <v>6.17</v>
      </c>
      <c r="C118">
        <v>62</v>
      </c>
      <c r="D118">
        <v>39</v>
      </c>
      <c r="E118">
        <v>1</v>
      </c>
      <c r="F118">
        <v>0</v>
      </c>
      <c r="G118">
        <v>1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0</v>
      </c>
      <c r="P118">
        <v>1</v>
      </c>
      <c r="Q118">
        <v>1</v>
      </c>
      <c r="R118">
        <v>0</v>
      </c>
      <c r="S118">
        <v>1</v>
      </c>
      <c r="T118">
        <v>11</v>
      </c>
      <c r="U118">
        <v>0</v>
      </c>
      <c r="V118">
        <v>1</v>
      </c>
      <c r="W118">
        <v>1</v>
      </c>
      <c r="X118">
        <v>1</v>
      </c>
      <c r="Y118">
        <v>2</v>
      </c>
      <c r="Z118">
        <v>1</v>
      </c>
      <c r="AA118">
        <v>1</v>
      </c>
    </row>
    <row r="119" spans="1:27" x14ac:dyDescent="0.2">
      <c r="A119">
        <v>118</v>
      </c>
      <c r="B119" s="10">
        <v>5.42</v>
      </c>
      <c r="C119">
        <v>33</v>
      </c>
      <c r="D119">
        <v>11</v>
      </c>
      <c r="E119">
        <v>1</v>
      </c>
      <c r="F119">
        <v>0</v>
      </c>
      <c r="G119">
        <v>0</v>
      </c>
      <c r="H119">
        <v>0</v>
      </c>
      <c r="I119">
        <v>1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1</v>
      </c>
      <c r="AA119">
        <v>1</v>
      </c>
    </row>
    <row r="120" spans="1:27" x14ac:dyDescent="0.2">
      <c r="A120">
        <v>119</v>
      </c>
      <c r="B120" s="10">
        <v>3.49</v>
      </c>
      <c r="C120">
        <v>37</v>
      </c>
      <c r="D120">
        <v>14</v>
      </c>
      <c r="E120">
        <v>1</v>
      </c>
      <c r="F120">
        <v>1</v>
      </c>
      <c r="G120">
        <v>0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1</v>
      </c>
      <c r="T120">
        <v>11</v>
      </c>
      <c r="U120">
        <v>0</v>
      </c>
      <c r="V120">
        <v>0</v>
      </c>
      <c r="W120">
        <v>0</v>
      </c>
      <c r="X120">
        <v>1</v>
      </c>
      <c r="Y120">
        <v>1</v>
      </c>
      <c r="Z120">
        <v>1</v>
      </c>
      <c r="AA120">
        <v>1</v>
      </c>
    </row>
    <row r="121" spans="1:27" x14ac:dyDescent="0.2">
      <c r="A121">
        <v>120</v>
      </c>
      <c r="B121" s="10">
        <v>6.37</v>
      </c>
      <c r="C121">
        <v>67</v>
      </c>
      <c r="D121">
        <v>43</v>
      </c>
      <c r="E121">
        <v>0</v>
      </c>
      <c r="F121">
        <v>1</v>
      </c>
      <c r="G121">
        <v>0</v>
      </c>
      <c r="H121">
        <v>1</v>
      </c>
      <c r="I121">
        <v>1</v>
      </c>
      <c r="J121">
        <v>0</v>
      </c>
      <c r="K121">
        <v>1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</v>
      </c>
      <c r="U121">
        <v>0</v>
      </c>
      <c r="V121">
        <v>1</v>
      </c>
      <c r="W121">
        <v>0</v>
      </c>
      <c r="X121">
        <v>1</v>
      </c>
      <c r="Y121">
        <v>2</v>
      </c>
      <c r="Z121">
        <v>1</v>
      </c>
      <c r="AA121">
        <v>1</v>
      </c>
    </row>
    <row r="122" spans="1:27" x14ac:dyDescent="0.2">
      <c r="A122">
        <v>121</v>
      </c>
      <c r="B122" s="10">
        <v>3.09</v>
      </c>
      <c r="C122">
        <v>46</v>
      </c>
      <c r="D122">
        <v>22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12</v>
      </c>
      <c r="U122">
        <v>0</v>
      </c>
      <c r="V122">
        <v>1</v>
      </c>
      <c r="W122">
        <v>1</v>
      </c>
      <c r="X122">
        <v>1</v>
      </c>
      <c r="Y122">
        <v>1</v>
      </c>
      <c r="Z122">
        <v>0</v>
      </c>
      <c r="AA122">
        <v>1</v>
      </c>
    </row>
    <row r="123" spans="1:27" x14ac:dyDescent="0.2">
      <c r="A123">
        <v>122</v>
      </c>
      <c r="B123" s="10">
        <v>1.37</v>
      </c>
      <c r="C123">
        <v>40</v>
      </c>
      <c r="D123">
        <v>16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1</v>
      </c>
      <c r="T123">
        <v>12</v>
      </c>
      <c r="U123">
        <v>0</v>
      </c>
      <c r="V123">
        <v>1</v>
      </c>
      <c r="W123">
        <v>1</v>
      </c>
      <c r="X123">
        <v>1</v>
      </c>
      <c r="Y123">
        <v>2</v>
      </c>
      <c r="Z123">
        <v>1</v>
      </c>
      <c r="AA123">
        <v>1</v>
      </c>
    </row>
    <row r="124" spans="1:27" x14ac:dyDescent="0.2">
      <c r="A124">
        <v>123</v>
      </c>
      <c r="B124" s="10">
        <v>1.44</v>
      </c>
      <c r="C124">
        <v>38</v>
      </c>
      <c r="D124">
        <v>14</v>
      </c>
      <c r="E124">
        <v>1</v>
      </c>
      <c r="F124">
        <v>1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9</v>
      </c>
      <c r="U124">
        <v>1</v>
      </c>
      <c r="V124">
        <v>1</v>
      </c>
      <c r="W124">
        <v>0</v>
      </c>
      <c r="X124">
        <v>1</v>
      </c>
      <c r="Y124">
        <v>2</v>
      </c>
      <c r="Z124">
        <v>1</v>
      </c>
      <c r="AA124">
        <v>1</v>
      </c>
    </row>
    <row r="125" spans="1:27" x14ac:dyDescent="0.2">
      <c r="A125">
        <v>124</v>
      </c>
      <c r="B125" s="10">
        <v>38.49</v>
      </c>
      <c r="C125">
        <v>32</v>
      </c>
      <c r="D125">
        <v>8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0</v>
      </c>
      <c r="R125">
        <v>0</v>
      </c>
      <c r="S125">
        <v>1</v>
      </c>
      <c r="T125">
        <v>11</v>
      </c>
      <c r="U125">
        <v>1</v>
      </c>
      <c r="V125">
        <v>1</v>
      </c>
      <c r="W125">
        <v>0</v>
      </c>
      <c r="X125">
        <v>1</v>
      </c>
      <c r="Y125">
        <v>1</v>
      </c>
      <c r="Z125">
        <v>0</v>
      </c>
      <c r="AA125">
        <v>1</v>
      </c>
    </row>
    <row r="126" spans="1:27" x14ac:dyDescent="0.2">
      <c r="A126">
        <v>125</v>
      </c>
      <c r="B126" s="10">
        <v>4.38</v>
      </c>
      <c r="C126">
        <v>46</v>
      </c>
      <c r="D126">
        <v>32</v>
      </c>
      <c r="E126">
        <v>1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1</v>
      </c>
      <c r="N126">
        <v>1</v>
      </c>
      <c r="O126">
        <v>1</v>
      </c>
      <c r="P126">
        <v>1</v>
      </c>
      <c r="Q126">
        <v>0</v>
      </c>
      <c r="R126">
        <v>0</v>
      </c>
      <c r="S126">
        <v>1</v>
      </c>
      <c r="T126">
        <v>9</v>
      </c>
      <c r="U126">
        <v>0</v>
      </c>
      <c r="V126">
        <v>1</v>
      </c>
      <c r="W126">
        <v>1</v>
      </c>
      <c r="X126">
        <v>1</v>
      </c>
      <c r="Y126">
        <v>2</v>
      </c>
      <c r="Z126">
        <v>0</v>
      </c>
      <c r="AA126">
        <v>1</v>
      </c>
    </row>
    <row r="127" spans="1:27" x14ac:dyDescent="0.2">
      <c r="A127">
        <v>126</v>
      </c>
      <c r="B127" s="10">
        <v>1.27</v>
      </c>
      <c r="C127">
        <v>32</v>
      </c>
      <c r="D127">
        <v>8</v>
      </c>
      <c r="E127">
        <v>1</v>
      </c>
      <c r="F127">
        <v>1</v>
      </c>
      <c r="G127">
        <v>1</v>
      </c>
      <c r="H127">
        <v>0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10</v>
      </c>
      <c r="U127">
        <v>0</v>
      </c>
      <c r="V127">
        <v>1</v>
      </c>
      <c r="W127">
        <v>0</v>
      </c>
      <c r="X127">
        <v>1</v>
      </c>
      <c r="Y127">
        <v>1</v>
      </c>
      <c r="Z127">
        <v>0</v>
      </c>
      <c r="AA127">
        <v>1</v>
      </c>
    </row>
    <row r="128" spans="1:27" x14ac:dyDescent="0.2">
      <c r="A128">
        <v>127</v>
      </c>
      <c r="B128" s="10">
        <v>1.58</v>
      </c>
      <c r="C128">
        <v>33</v>
      </c>
      <c r="D128">
        <v>9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</v>
      </c>
      <c r="U128">
        <v>1</v>
      </c>
      <c r="V128">
        <v>1</v>
      </c>
      <c r="W128">
        <v>0</v>
      </c>
      <c r="X128">
        <v>1</v>
      </c>
      <c r="Y128">
        <v>0</v>
      </c>
      <c r="Z128">
        <v>1</v>
      </c>
      <c r="AA128">
        <v>1</v>
      </c>
    </row>
    <row r="129" spans="1:27" x14ac:dyDescent="0.2">
      <c r="A129">
        <v>128</v>
      </c>
      <c r="B129" s="10">
        <v>5.34</v>
      </c>
      <c r="C129">
        <v>38</v>
      </c>
      <c r="D129">
        <v>14</v>
      </c>
      <c r="E129">
        <v>1</v>
      </c>
      <c r="F129">
        <v>1</v>
      </c>
      <c r="G129">
        <v>1</v>
      </c>
      <c r="H129">
        <v>0</v>
      </c>
      <c r="I129">
        <v>1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8</v>
      </c>
      <c r="U129">
        <v>1</v>
      </c>
      <c r="V129">
        <v>1</v>
      </c>
      <c r="W129">
        <v>0</v>
      </c>
      <c r="X129">
        <v>1</v>
      </c>
      <c r="Y129">
        <v>1</v>
      </c>
      <c r="Z129">
        <v>1</v>
      </c>
      <c r="AA129">
        <v>1</v>
      </c>
    </row>
    <row r="130" spans="1:27" x14ac:dyDescent="0.2">
      <c r="A130">
        <v>129</v>
      </c>
      <c r="B130" s="10">
        <v>3.37</v>
      </c>
      <c r="C130">
        <v>37</v>
      </c>
      <c r="D130">
        <v>13</v>
      </c>
      <c r="E130">
        <v>1</v>
      </c>
      <c r="F130">
        <v>1</v>
      </c>
      <c r="G130">
        <v>1</v>
      </c>
      <c r="H130">
        <v>0</v>
      </c>
      <c r="I130">
        <v>1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7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1</v>
      </c>
      <c r="AA130">
        <v>1</v>
      </c>
    </row>
    <row r="131" spans="1:27" x14ac:dyDescent="0.2">
      <c r="A131">
        <v>130</v>
      </c>
      <c r="B131" s="10">
        <v>6.03</v>
      </c>
      <c r="C131">
        <v>31</v>
      </c>
      <c r="D131">
        <v>7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1</v>
      </c>
      <c r="L131">
        <v>1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1</v>
      </c>
      <c r="T131">
        <v>8</v>
      </c>
      <c r="U131">
        <v>0</v>
      </c>
      <c r="V131">
        <v>0</v>
      </c>
      <c r="W131">
        <v>1</v>
      </c>
      <c r="X131">
        <v>1</v>
      </c>
      <c r="Y131">
        <v>0</v>
      </c>
      <c r="Z131">
        <v>1</v>
      </c>
      <c r="AA131">
        <v>1</v>
      </c>
    </row>
    <row r="132" spans="1:27" x14ac:dyDescent="0.2">
      <c r="A132">
        <v>131</v>
      </c>
      <c r="B132" s="10">
        <v>2.35</v>
      </c>
      <c r="C132">
        <v>31</v>
      </c>
      <c r="D132">
        <v>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1</v>
      </c>
      <c r="Y132">
        <v>0</v>
      </c>
      <c r="Z132">
        <v>1</v>
      </c>
      <c r="AA132">
        <v>0</v>
      </c>
    </row>
    <row r="133" spans="1:27" x14ac:dyDescent="0.2">
      <c r="A133">
        <v>132</v>
      </c>
      <c r="B133" s="10">
        <v>1.39</v>
      </c>
      <c r="C133">
        <v>33</v>
      </c>
      <c r="D133">
        <v>9</v>
      </c>
      <c r="E133">
        <v>1</v>
      </c>
      <c r="F133">
        <v>1</v>
      </c>
      <c r="G133">
        <v>1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1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8</v>
      </c>
      <c r="U133">
        <v>0</v>
      </c>
      <c r="V133">
        <v>1</v>
      </c>
      <c r="W133">
        <v>0</v>
      </c>
      <c r="X133">
        <v>1</v>
      </c>
      <c r="Y133">
        <v>1</v>
      </c>
      <c r="Z133">
        <v>0</v>
      </c>
      <c r="AA133">
        <v>1</v>
      </c>
    </row>
    <row r="134" spans="1:27" x14ac:dyDescent="0.2">
      <c r="A134">
        <v>133</v>
      </c>
      <c r="B134" s="10">
        <v>1.04</v>
      </c>
      <c r="C134">
        <v>30</v>
      </c>
      <c r="D134">
        <v>6</v>
      </c>
      <c r="E134">
        <v>1</v>
      </c>
      <c r="F134">
        <v>1</v>
      </c>
      <c r="G134">
        <v>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9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1</v>
      </c>
      <c r="AA134">
        <v>0</v>
      </c>
    </row>
    <row r="135" spans="1:27" x14ac:dyDescent="0.2">
      <c r="A135">
        <v>134</v>
      </c>
      <c r="B135" s="10">
        <v>5.33</v>
      </c>
      <c r="C135">
        <v>39</v>
      </c>
      <c r="D135">
        <v>24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1</v>
      </c>
      <c r="L135">
        <v>1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6</v>
      </c>
      <c r="U135">
        <v>1</v>
      </c>
      <c r="V135">
        <v>0</v>
      </c>
      <c r="W135">
        <v>0</v>
      </c>
      <c r="X135">
        <v>1</v>
      </c>
      <c r="Y135">
        <v>1</v>
      </c>
      <c r="Z135">
        <v>0</v>
      </c>
      <c r="AA135">
        <v>1</v>
      </c>
    </row>
    <row r="136" spans="1:27" x14ac:dyDescent="0.2">
      <c r="A136">
        <v>135</v>
      </c>
      <c r="B136" s="10">
        <v>4.41</v>
      </c>
      <c r="C136">
        <v>34</v>
      </c>
      <c r="D136">
        <v>8</v>
      </c>
      <c r="E136">
        <v>1</v>
      </c>
      <c r="F136">
        <v>0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0</v>
      </c>
      <c r="M136">
        <v>1</v>
      </c>
      <c r="N136">
        <v>1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9</v>
      </c>
      <c r="U136">
        <v>1</v>
      </c>
      <c r="V136">
        <v>0</v>
      </c>
      <c r="W136">
        <v>0</v>
      </c>
      <c r="X136">
        <v>1</v>
      </c>
      <c r="Y136">
        <v>0</v>
      </c>
      <c r="Z136">
        <v>1</v>
      </c>
      <c r="AA136">
        <v>0</v>
      </c>
    </row>
    <row r="137" spans="1:27" x14ac:dyDescent="0.2">
      <c r="A137">
        <v>136</v>
      </c>
      <c r="B137" s="10">
        <v>6.14</v>
      </c>
      <c r="C137">
        <v>35</v>
      </c>
      <c r="D137">
        <v>35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5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1</v>
      </c>
    </row>
    <row r="138" spans="1:27" x14ac:dyDescent="0.2">
      <c r="A138">
        <v>137</v>
      </c>
      <c r="B138" s="10">
        <v>8.2899999999999991</v>
      </c>
      <c r="C138">
        <v>41</v>
      </c>
      <c r="D138">
        <v>18</v>
      </c>
      <c r="E138">
        <v>1</v>
      </c>
      <c r="F138">
        <v>1</v>
      </c>
      <c r="G138">
        <v>0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1</v>
      </c>
      <c r="T138">
        <v>8</v>
      </c>
      <c r="U138">
        <v>1</v>
      </c>
      <c r="V138">
        <v>0</v>
      </c>
      <c r="W138">
        <v>0</v>
      </c>
      <c r="X138">
        <v>1</v>
      </c>
      <c r="Y138">
        <v>1</v>
      </c>
      <c r="Z138">
        <v>0</v>
      </c>
      <c r="AA138">
        <v>1</v>
      </c>
    </row>
    <row r="139" spans="1:27" x14ac:dyDescent="0.2">
      <c r="A139">
        <v>138</v>
      </c>
      <c r="B139" s="10">
        <v>5.26</v>
      </c>
      <c r="C139">
        <v>34</v>
      </c>
      <c r="D139">
        <v>11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</v>
      </c>
      <c r="U139">
        <v>1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1</v>
      </c>
    </row>
    <row r="140" spans="1:27" x14ac:dyDescent="0.2">
      <c r="A140">
        <v>139</v>
      </c>
      <c r="B140" s="10">
        <v>9.24</v>
      </c>
      <c r="C140">
        <v>35</v>
      </c>
      <c r="D140">
        <v>11</v>
      </c>
      <c r="E140">
        <v>1</v>
      </c>
      <c r="F140">
        <v>1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0</v>
      </c>
      <c r="M140">
        <v>1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8</v>
      </c>
      <c r="U140">
        <v>1</v>
      </c>
      <c r="V140">
        <v>0</v>
      </c>
      <c r="W140">
        <v>0</v>
      </c>
      <c r="X140">
        <v>1</v>
      </c>
      <c r="Y140">
        <v>1</v>
      </c>
      <c r="Z140">
        <v>0</v>
      </c>
      <c r="AA140">
        <v>1</v>
      </c>
    </row>
    <row r="141" spans="1:27" x14ac:dyDescent="0.2">
      <c r="A141">
        <v>140</v>
      </c>
      <c r="B141" s="10">
        <v>4.16</v>
      </c>
      <c r="C141">
        <v>17</v>
      </c>
      <c r="D141">
        <v>17</v>
      </c>
      <c r="E141">
        <v>0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</v>
      </c>
      <c r="U141">
        <v>1</v>
      </c>
      <c r="V141">
        <v>0</v>
      </c>
      <c r="W141">
        <v>1</v>
      </c>
      <c r="X141">
        <v>1</v>
      </c>
      <c r="Y141">
        <v>2</v>
      </c>
      <c r="Z141">
        <v>1</v>
      </c>
      <c r="AA141">
        <v>1</v>
      </c>
    </row>
    <row r="142" spans="1:27" x14ac:dyDescent="0.2">
      <c r="A142">
        <v>141</v>
      </c>
      <c r="B142" s="10">
        <v>8.14</v>
      </c>
      <c r="C142">
        <v>35</v>
      </c>
      <c r="D142">
        <v>12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1</v>
      </c>
      <c r="S142">
        <v>1</v>
      </c>
      <c r="T142">
        <v>5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1</v>
      </c>
    </row>
    <row r="143" spans="1:27" x14ac:dyDescent="0.2">
      <c r="A143">
        <v>142</v>
      </c>
      <c r="B143" s="10">
        <v>8.0299999999999994</v>
      </c>
      <c r="C143">
        <v>53</v>
      </c>
      <c r="D143">
        <v>29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7</v>
      </c>
      <c r="U143">
        <v>1</v>
      </c>
      <c r="V143">
        <v>0</v>
      </c>
      <c r="W143">
        <v>0</v>
      </c>
      <c r="X143">
        <v>1</v>
      </c>
      <c r="Y143">
        <v>2</v>
      </c>
      <c r="Z143">
        <v>1</v>
      </c>
      <c r="AA143">
        <v>1</v>
      </c>
    </row>
    <row r="144" spans="1:27" x14ac:dyDescent="0.2">
      <c r="A144">
        <v>143</v>
      </c>
      <c r="B144" s="10">
        <v>3.51</v>
      </c>
      <c r="C144">
        <v>36</v>
      </c>
      <c r="D144">
        <v>12</v>
      </c>
      <c r="E144">
        <v>1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7</v>
      </c>
      <c r="U144">
        <v>1</v>
      </c>
      <c r="V144">
        <v>0</v>
      </c>
      <c r="W144">
        <v>0</v>
      </c>
      <c r="X144">
        <v>1</v>
      </c>
      <c r="Y144">
        <v>1</v>
      </c>
      <c r="Z144">
        <v>0</v>
      </c>
      <c r="AA144">
        <v>1</v>
      </c>
    </row>
    <row r="145" spans="1:27" x14ac:dyDescent="0.2">
      <c r="A145">
        <v>144</v>
      </c>
      <c r="B145" s="10">
        <v>10.31</v>
      </c>
      <c r="C145">
        <v>37</v>
      </c>
      <c r="D145">
        <v>13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1</v>
      </c>
      <c r="S145">
        <v>1</v>
      </c>
      <c r="T145">
        <v>14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 x14ac:dyDescent="0.2">
      <c r="A146">
        <v>145</v>
      </c>
      <c r="B146" s="10">
        <v>1.34</v>
      </c>
      <c r="C146">
        <v>33</v>
      </c>
      <c r="D146">
        <v>9</v>
      </c>
      <c r="E146">
        <v>1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9</v>
      </c>
      <c r="U146">
        <v>1</v>
      </c>
      <c r="V146">
        <v>0</v>
      </c>
      <c r="W146">
        <v>0</v>
      </c>
      <c r="X146">
        <v>1</v>
      </c>
      <c r="Y146">
        <v>1</v>
      </c>
      <c r="Z146">
        <v>0</v>
      </c>
      <c r="AA146">
        <v>1</v>
      </c>
    </row>
    <row r="147" spans="1:27" x14ac:dyDescent="0.2">
      <c r="A147">
        <v>146</v>
      </c>
      <c r="B147" s="10">
        <v>4.17</v>
      </c>
      <c r="C147">
        <v>33</v>
      </c>
      <c r="D147">
        <v>9</v>
      </c>
      <c r="E147">
        <v>1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0</v>
      </c>
      <c r="L147">
        <v>1</v>
      </c>
      <c r="M147">
        <v>1</v>
      </c>
      <c r="N147">
        <v>1</v>
      </c>
      <c r="O147">
        <v>0</v>
      </c>
      <c r="P147">
        <v>1</v>
      </c>
      <c r="Q147">
        <v>1</v>
      </c>
      <c r="R147">
        <v>1</v>
      </c>
      <c r="S147">
        <v>1</v>
      </c>
      <c r="T147">
        <v>10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1</v>
      </c>
      <c r="AA147">
        <v>0</v>
      </c>
    </row>
    <row r="148" spans="1:27" x14ac:dyDescent="0.2">
      <c r="A148">
        <v>147</v>
      </c>
      <c r="B148" s="10">
        <v>8.0500000000000007</v>
      </c>
      <c r="C148">
        <v>61</v>
      </c>
      <c r="D148">
        <v>29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4</v>
      </c>
      <c r="U148">
        <v>0</v>
      </c>
      <c r="V148">
        <v>0</v>
      </c>
      <c r="W148">
        <v>0</v>
      </c>
      <c r="X148">
        <v>1</v>
      </c>
      <c r="Y148">
        <v>2</v>
      </c>
      <c r="Z148">
        <v>1</v>
      </c>
      <c r="AA148">
        <v>1</v>
      </c>
    </row>
    <row r="149" spans="1:27" x14ac:dyDescent="0.2">
      <c r="A149">
        <v>148</v>
      </c>
      <c r="B149" s="10">
        <v>2.5</v>
      </c>
      <c r="C149">
        <v>31</v>
      </c>
      <c r="D149">
        <v>7</v>
      </c>
      <c r="E149">
        <v>0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1</v>
      </c>
      <c r="M149">
        <v>1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9</v>
      </c>
      <c r="U149">
        <v>0</v>
      </c>
      <c r="V149">
        <v>1</v>
      </c>
      <c r="W149">
        <v>1</v>
      </c>
      <c r="X149">
        <v>1</v>
      </c>
      <c r="Y149">
        <v>0</v>
      </c>
      <c r="Z149">
        <v>1</v>
      </c>
      <c r="AA149">
        <v>1</v>
      </c>
    </row>
    <row r="150" spans="1:27" x14ac:dyDescent="0.2">
      <c r="A150">
        <v>149</v>
      </c>
      <c r="B150" s="10">
        <v>1.1399999999999999</v>
      </c>
      <c r="C150">
        <v>36</v>
      </c>
      <c r="D150">
        <v>12</v>
      </c>
      <c r="E150">
        <v>1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0</v>
      </c>
      <c r="S150">
        <v>1</v>
      </c>
      <c r="T150">
        <v>10</v>
      </c>
      <c r="U150">
        <v>0</v>
      </c>
      <c r="V150">
        <v>0</v>
      </c>
      <c r="W150">
        <v>0</v>
      </c>
      <c r="X150">
        <v>1</v>
      </c>
      <c r="Y150">
        <v>1</v>
      </c>
      <c r="Z150">
        <v>0</v>
      </c>
      <c r="AA150">
        <v>1</v>
      </c>
    </row>
    <row r="151" spans="1:27" x14ac:dyDescent="0.2">
      <c r="A151">
        <v>150</v>
      </c>
      <c r="B151" s="10">
        <v>48.47</v>
      </c>
      <c r="C151">
        <v>37</v>
      </c>
      <c r="D151">
        <v>13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1</v>
      </c>
      <c r="T151">
        <v>12</v>
      </c>
      <c r="U151">
        <v>1</v>
      </c>
      <c r="V151">
        <v>1</v>
      </c>
      <c r="W151">
        <v>0</v>
      </c>
      <c r="X151">
        <v>1</v>
      </c>
      <c r="Y151">
        <v>2</v>
      </c>
      <c r="Z151">
        <v>1</v>
      </c>
      <c r="AA151">
        <v>1</v>
      </c>
    </row>
    <row r="152" spans="1:27" x14ac:dyDescent="0.2">
      <c r="A152">
        <v>151</v>
      </c>
      <c r="B152" s="10">
        <v>59.59</v>
      </c>
      <c r="C152">
        <v>40</v>
      </c>
      <c r="D152">
        <v>16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0</v>
      </c>
      <c r="R152">
        <v>1</v>
      </c>
      <c r="S152">
        <v>1</v>
      </c>
      <c r="T152">
        <v>13</v>
      </c>
      <c r="U152">
        <v>0</v>
      </c>
      <c r="V152">
        <v>1</v>
      </c>
      <c r="W152">
        <v>1</v>
      </c>
      <c r="X152">
        <v>1</v>
      </c>
      <c r="Y152">
        <v>2</v>
      </c>
      <c r="Z152">
        <v>1</v>
      </c>
      <c r="AA152">
        <v>1</v>
      </c>
    </row>
    <row r="153" spans="1:27" x14ac:dyDescent="0.2">
      <c r="A153">
        <v>152</v>
      </c>
      <c r="B153" s="10">
        <v>2.5499999999999998</v>
      </c>
      <c r="C153">
        <v>33</v>
      </c>
      <c r="D153">
        <v>9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15</v>
      </c>
      <c r="U153">
        <v>1</v>
      </c>
      <c r="V153">
        <v>1</v>
      </c>
      <c r="W153">
        <v>0</v>
      </c>
      <c r="X153">
        <v>1</v>
      </c>
      <c r="Y153">
        <v>0</v>
      </c>
      <c r="Z153">
        <v>0</v>
      </c>
      <c r="AA153">
        <v>1</v>
      </c>
    </row>
    <row r="154" spans="1:27" x14ac:dyDescent="0.2">
      <c r="A154">
        <v>153</v>
      </c>
      <c r="B154" s="10">
        <v>20.48</v>
      </c>
      <c r="C154">
        <v>50</v>
      </c>
      <c r="D154">
        <v>26</v>
      </c>
      <c r="E154">
        <v>1</v>
      </c>
      <c r="F154">
        <v>1</v>
      </c>
      <c r="G154">
        <v>1</v>
      </c>
      <c r="H154">
        <v>0</v>
      </c>
      <c r="I154">
        <v>1</v>
      </c>
      <c r="J154">
        <v>1</v>
      </c>
      <c r="K154">
        <v>1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9</v>
      </c>
      <c r="U154">
        <v>1</v>
      </c>
      <c r="V154">
        <v>1</v>
      </c>
      <c r="W154">
        <v>0</v>
      </c>
      <c r="X154">
        <v>1</v>
      </c>
      <c r="Y154">
        <v>2</v>
      </c>
      <c r="Z154">
        <v>1</v>
      </c>
      <c r="AA154">
        <v>1</v>
      </c>
    </row>
    <row r="155" spans="1:27" x14ac:dyDescent="0.2">
      <c r="A155">
        <v>154</v>
      </c>
      <c r="B155" s="10">
        <v>5.54</v>
      </c>
      <c r="C155">
        <v>59</v>
      </c>
      <c r="D155">
        <v>36</v>
      </c>
      <c r="E155">
        <v>1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0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12</v>
      </c>
      <c r="U155">
        <v>1</v>
      </c>
      <c r="V155">
        <v>1</v>
      </c>
      <c r="W155">
        <v>1</v>
      </c>
      <c r="X155">
        <v>1</v>
      </c>
      <c r="Y155">
        <v>2</v>
      </c>
      <c r="Z155">
        <v>1</v>
      </c>
      <c r="AA155">
        <v>1</v>
      </c>
    </row>
    <row r="156" spans="1:27" x14ac:dyDescent="0.2">
      <c r="A156">
        <v>155</v>
      </c>
      <c r="B156" s="10">
        <v>1.27</v>
      </c>
      <c r="C156">
        <v>44</v>
      </c>
      <c r="D156">
        <v>14</v>
      </c>
      <c r="E156">
        <v>1</v>
      </c>
      <c r="F156">
        <v>1</v>
      </c>
      <c r="G156">
        <v>1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0</v>
      </c>
      <c r="R156">
        <v>0</v>
      </c>
      <c r="S156">
        <v>1</v>
      </c>
      <c r="T156">
        <v>12</v>
      </c>
      <c r="U156">
        <v>0</v>
      </c>
      <c r="V156">
        <v>1</v>
      </c>
      <c r="W156">
        <v>0</v>
      </c>
      <c r="X156">
        <v>1</v>
      </c>
      <c r="Y156">
        <v>2</v>
      </c>
      <c r="Z156">
        <v>1</v>
      </c>
      <c r="AA156">
        <v>1</v>
      </c>
    </row>
    <row r="157" spans="1:27" x14ac:dyDescent="0.2">
      <c r="A157">
        <v>156</v>
      </c>
      <c r="B157" s="10">
        <v>3.12</v>
      </c>
      <c r="C157">
        <v>43</v>
      </c>
      <c r="D157">
        <v>20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1</v>
      </c>
      <c r="T157">
        <v>5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 x14ac:dyDescent="0.2">
      <c r="A158">
        <v>157</v>
      </c>
      <c r="B158" s="10">
        <v>1.17</v>
      </c>
      <c r="C158">
        <v>43</v>
      </c>
      <c r="D158">
        <v>19</v>
      </c>
      <c r="E158">
        <v>1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0</v>
      </c>
      <c r="M158">
        <v>1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1</v>
      </c>
      <c r="T158">
        <v>11</v>
      </c>
      <c r="U158">
        <v>1</v>
      </c>
      <c r="V158">
        <v>0</v>
      </c>
      <c r="W158">
        <v>0</v>
      </c>
      <c r="X158">
        <v>1</v>
      </c>
      <c r="Y158">
        <v>2</v>
      </c>
      <c r="Z158">
        <v>0</v>
      </c>
      <c r="AA158">
        <v>1</v>
      </c>
    </row>
    <row r="159" spans="1:27" x14ac:dyDescent="0.2">
      <c r="A159">
        <v>158</v>
      </c>
      <c r="B159" s="10">
        <v>3.22</v>
      </c>
      <c r="C159">
        <v>60</v>
      </c>
      <c r="D159">
        <v>37</v>
      </c>
      <c r="E159">
        <v>1</v>
      </c>
      <c r="F159">
        <v>0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0</v>
      </c>
      <c r="N159">
        <v>1</v>
      </c>
      <c r="O159">
        <v>1</v>
      </c>
      <c r="P159">
        <v>1</v>
      </c>
      <c r="Q159">
        <v>0</v>
      </c>
      <c r="R159">
        <v>0</v>
      </c>
      <c r="S159">
        <v>1</v>
      </c>
      <c r="T159">
        <v>10</v>
      </c>
      <c r="U159">
        <v>0</v>
      </c>
      <c r="V159">
        <v>1</v>
      </c>
      <c r="W159">
        <v>0</v>
      </c>
      <c r="X159">
        <v>1</v>
      </c>
      <c r="Y159">
        <v>2</v>
      </c>
      <c r="Z159">
        <v>0</v>
      </c>
      <c r="AA159">
        <v>1</v>
      </c>
    </row>
    <row r="160" spans="1:27" x14ac:dyDescent="0.2">
      <c r="A160">
        <v>159</v>
      </c>
      <c r="B160" s="10">
        <v>4.21</v>
      </c>
      <c r="C160">
        <v>50</v>
      </c>
      <c r="D160">
        <v>27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0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12</v>
      </c>
      <c r="U160">
        <v>0</v>
      </c>
      <c r="V160">
        <v>1</v>
      </c>
      <c r="W160">
        <v>1</v>
      </c>
      <c r="X160">
        <v>1</v>
      </c>
      <c r="Y160">
        <v>2</v>
      </c>
      <c r="Z160">
        <v>0</v>
      </c>
      <c r="AA160">
        <v>1</v>
      </c>
    </row>
    <row r="161" spans="1:27" x14ac:dyDescent="0.2">
      <c r="A161">
        <v>160</v>
      </c>
      <c r="B161" s="10">
        <v>5.0599999999999996</v>
      </c>
      <c r="C161">
        <v>36</v>
      </c>
      <c r="D161">
        <v>12</v>
      </c>
      <c r="E161">
        <v>1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9</v>
      </c>
      <c r="U161">
        <v>1</v>
      </c>
      <c r="V161">
        <v>1</v>
      </c>
      <c r="W161">
        <v>0</v>
      </c>
      <c r="X161">
        <v>1</v>
      </c>
      <c r="Y161">
        <v>2</v>
      </c>
      <c r="Z161">
        <v>0</v>
      </c>
      <c r="AA161">
        <v>1</v>
      </c>
    </row>
    <row r="162" spans="1:27" x14ac:dyDescent="0.2">
      <c r="A162">
        <v>161</v>
      </c>
      <c r="B162" s="10">
        <v>2.04</v>
      </c>
      <c r="C162">
        <v>46</v>
      </c>
      <c r="D162">
        <v>23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15</v>
      </c>
      <c r="U162">
        <v>0</v>
      </c>
      <c r="V162">
        <v>1</v>
      </c>
      <c r="W162">
        <v>0</v>
      </c>
      <c r="X162">
        <v>1</v>
      </c>
      <c r="Y162">
        <v>2</v>
      </c>
      <c r="Z162">
        <v>1</v>
      </c>
      <c r="AA162">
        <v>0</v>
      </c>
    </row>
    <row r="163" spans="1:27" x14ac:dyDescent="0.2">
      <c r="A163">
        <v>162</v>
      </c>
      <c r="B163" s="10">
        <v>3.27</v>
      </c>
      <c r="C163">
        <v>37</v>
      </c>
      <c r="D163">
        <v>14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11</v>
      </c>
      <c r="U163">
        <v>0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 x14ac:dyDescent="0.2">
      <c r="A164">
        <v>163</v>
      </c>
      <c r="B164" s="10">
        <v>3.06</v>
      </c>
      <c r="C164">
        <v>42</v>
      </c>
      <c r="D164">
        <v>20</v>
      </c>
      <c r="E164">
        <v>1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0</v>
      </c>
      <c r="S164">
        <v>1</v>
      </c>
      <c r="T164">
        <v>13</v>
      </c>
      <c r="U164">
        <v>0</v>
      </c>
      <c r="V164">
        <v>1</v>
      </c>
      <c r="W164">
        <v>1</v>
      </c>
      <c r="X164">
        <v>1</v>
      </c>
      <c r="Y164">
        <v>2</v>
      </c>
      <c r="Z164">
        <v>1</v>
      </c>
      <c r="AA164">
        <v>1</v>
      </c>
    </row>
    <row r="165" spans="1:27" x14ac:dyDescent="0.2">
      <c r="A165">
        <v>164</v>
      </c>
      <c r="B165" s="10">
        <v>3.25</v>
      </c>
      <c r="C165">
        <v>34</v>
      </c>
      <c r="D165">
        <v>11</v>
      </c>
      <c r="E165">
        <v>1</v>
      </c>
      <c r="F165">
        <v>1</v>
      </c>
      <c r="G165">
        <v>0</v>
      </c>
      <c r="H165">
        <v>0</v>
      </c>
      <c r="I165">
        <v>1</v>
      </c>
      <c r="J165">
        <v>1</v>
      </c>
      <c r="K165">
        <v>1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1</v>
      </c>
      <c r="T165">
        <v>8</v>
      </c>
      <c r="U165">
        <v>0</v>
      </c>
      <c r="V165">
        <v>1</v>
      </c>
      <c r="W165">
        <v>0</v>
      </c>
      <c r="X165">
        <v>1</v>
      </c>
      <c r="Y165">
        <v>1</v>
      </c>
      <c r="Z165">
        <v>1</v>
      </c>
      <c r="AA165">
        <v>0</v>
      </c>
    </row>
    <row r="166" spans="1:27" x14ac:dyDescent="0.2">
      <c r="A166">
        <v>165</v>
      </c>
      <c r="B166" s="10">
        <v>1.06</v>
      </c>
      <c r="C166">
        <v>37</v>
      </c>
      <c r="D166">
        <v>13</v>
      </c>
      <c r="E166">
        <v>1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9</v>
      </c>
      <c r="U166">
        <v>1</v>
      </c>
      <c r="V166">
        <v>1</v>
      </c>
      <c r="W166">
        <v>0</v>
      </c>
      <c r="X166">
        <v>1</v>
      </c>
      <c r="Y166">
        <v>2</v>
      </c>
      <c r="Z166">
        <v>1</v>
      </c>
      <c r="AA166">
        <v>1</v>
      </c>
    </row>
    <row r="167" spans="1:27" x14ac:dyDescent="0.2">
      <c r="A167">
        <v>166</v>
      </c>
      <c r="B167" s="10">
        <v>1.35</v>
      </c>
      <c r="C167">
        <v>42</v>
      </c>
      <c r="D167">
        <v>18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8</v>
      </c>
      <c r="U167">
        <v>0</v>
      </c>
      <c r="V167">
        <v>1</v>
      </c>
      <c r="W167">
        <v>0</v>
      </c>
      <c r="X167">
        <v>1</v>
      </c>
      <c r="Y167">
        <v>2</v>
      </c>
      <c r="Z167">
        <v>0</v>
      </c>
      <c r="AA167">
        <v>1</v>
      </c>
    </row>
    <row r="168" spans="1:27" x14ac:dyDescent="0.2">
      <c r="A168">
        <v>167</v>
      </c>
      <c r="B168" s="10">
        <v>5.45</v>
      </c>
      <c r="C168">
        <v>41</v>
      </c>
      <c r="D168">
        <v>18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0</v>
      </c>
      <c r="N168">
        <v>1</v>
      </c>
      <c r="O168">
        <v>1</v>
      </c>
      <c r="P168">
        <v>1</v>
      </c>
      <c r="Q168">
        <v>0</v>
      </c>
      <c r="R168">
        <v>0</v>
      </c>
      <c r="S168">
        <v>1</v>
      </c>
      <c r="T168">
        <v>10</v>
      </c>
      <c r="U168">
        <v>0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 x14ac:dyDescent="0.2">
      <c r="A169">
        <v>168</v>
      </c>
      <c r="B169" s="10">
        <v>2.42</v>
      </c>
      <c r="C169">
        <v>32</v>
      </c>
      <c r="D169">
        <v>9</v>
      </c>
      <c r="E169">
        <v>1</v>
      </c>
      <c r="F169">
        <v>0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1</v>
      </c>
      <c r="T169">
        <v>10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</row>
    <row r="170" spans="1:27" x14ac:dyDescent="0.2">
      <c r="A170">
        <v>169</v>
      </c>
      <c r="B170" s="10">
        <v>1.26</v>
      </c>
      <c r="C170">
        <v>46</v>
      </c>
      <c r="D170">
        <v>22</v>
      </c>
      <c r="E170">
        <v>1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11</v>
      </c>
      <c r="U170">
        <v>0</v>
      </c>
      <c r="V170">
        <v>1</v>
      </c>
      <c r="W170">
        <v>0</v>
      </c>
      <c r="X170">
        <v>1</v>
      </c>
      <c r="Y170">
        <v>2</v>
      </c>
      <c r="Z170">
        <v>1</v>
      </c>
      <c r="AA170">
        <v>1</v>
      </c>
    </row>
    <row r="171" spans="1:27" x14ac:dyDescent="0.2">
      <c r="B17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backup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 Nabhan</cp:lastModifiedBy>
  <dcterms:created xsi:type="dcterms:W3CDTF">2026-07-19T12:55:05Z</dcterms:created>
  <dcterms:modified xsi:type="dcterms:W3CDTF">2026-07-20T14:50:35Z</dcterms:modified>
</cp:coreProperties>
</file>